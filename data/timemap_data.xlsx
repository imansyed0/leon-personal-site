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ents" sheetId="1" r:id="rId4"/>
    <sheet state="visible" name="Associations" sheetId="2" r:id="rId5"/>
    <sheet state="visible" name="Sources" sheetId="3" r:id="rId6"/>
    <sheet state="visible" name="Categories" sheetId="4" r:id="rId7"/>
    <sheet state="visible" name="Sites" sheetId="5" r:id="rId8"/>
    <sheet state="visible" name="EXPORT_EVENTS" sheetId="6" r:id="rId9"/>
    <sheet state="visible" name="EXPORT_SOURCES" sheetId="7" r:id="rId10"/>
    <sheet state="visible" name="EXPORT_ASSOCIATIONS" sheetId="8" r:id="rId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ID#AAABSw9XEuY
    (2024-07-27 20:42:36)
Events are located in time and space in TimeMap, so it is useful to have a tab that catalogues them. We have found it useful to keep the representation of events in datasheets separate from any strict formatting required by information visualisation. This allows researchers to add columns and even reformat the structure in sheets entirely if necessary.
	-Lachlan Kermode</t>
      </text>
    </comment>
    <comment authorId="0" ref="D1">
      <text>
        <t xml:space="preserve">======
ID#AAABSw9XEuI
    (2024-07-27 20:42:36)
If certain fields can be compressed into a single term for cleaner expression, such as latitude and longitude becoming simply location, Google Sheet's 'Data Validation' can be used to create dropdown references.
	-Lachlan Kermode
To see the latitude and longitude of these locations, look in the 'Locations' sheet (tab at the bottom of the page).
	-Lachlan Kermode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ID#AAABSw9XEug
    (2024-07-27 20:42:36)
The ID must be a unique identifier (successive numbers are probably most appropriate, but there is no restriction).
	-Lachlan Kermode</t>
      </text>
    </comment>
    <comment authorId="0" ref="C2">
      <text>
        <t xml:space="preserve">======
ID#AAABSw9XEuc
    (2024-07-27 20:42:36)
The source's first image is used by default if the thumbnail column is left blank.
	-Lachlan Kermode</t>
      </text>
    </comment>
    <comment authorId="0" ref="C5">
      <text>
        <t xml:space="preserve">======
ID#AAABSwmTQOY
    (2024-07-27 20:42:36)
If the thumbnail is left blank and there are no images contained in the source, then an icon corresponding to the source type is used instead.
	-Lachlan Kermode</t>
      </text>
    </comment>
    <comment authorId="0" ref="C6">
      <text>
        <t xml:space="preserve">======
ID#AAABSw9XEuM
    (2024-07-27 20:42:36)
Non-existent thumbnail path
	-Lachlan Kermode</t>
      </text>
    </comment>
    <comment authorId="0" ref="C7">
      <text>
        <t xml:space="preserve">======
ID#AAABSw9XEus
    (2024-07-27 20:42:36)
Videos cannot be a thumbnail path: this source is also erroneous.
	-Lachlan Kermode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ID#AAABSw9XEuk
    (2024-07-27 20:42:36)
Description is pulled from the 'Events' tab.
	-Lachlan Kermode</t>
      </text>
    </comment>
    <comment authorId="0" ref="B1">
      <text>
        <t xml:space="preserve">======
ID#AAABSw9XEuo
    (2024-07-27 20:42:36)
The format of the date is the standard format for dates in Google Sheets.
	-Lachlan Kermode</t>
      </text>
    </comment>
    <comment authorId="0" ref="C1">
      <text>
        <t xml:space="preserve">======
ID#AAABSw9XEuw
    (2024-07-27 20:42:36)
Time is formatted as a 24 hour time.
	-Lachlan Kermode</t>
      </text>
    </comment>
    <comment authorId="0" ref="D1">
      <text>
        <t xml:space="preserve">======
ID#AAABSw9XEuQ
    (2024-07-27 20:42:36)
The exported 'location' does not configure anything about the event's placement on the map, but rather the name of the location that is displayed when the event is clicked.
	-Lachlan Kermode</t>
      </text>
    </comment>
    <comment authorId="0" ref="E1">
      <text>
        <t xml:space="preserve">======
ID#AAABSw9XEuU
    (2024-07-27 20:42:36)
The latitude is determined referentially using the categorical location that is listed in the 'Events' tab. We can do this using VLOOKUP.
	-Lachlan Kermode</t>
      </text>
    </comment>
    <comment authorId="0" ref="F1">
      <text>
        <t xml:space="preserve">======
ID#AAABSwmTQOU
    (2024-07-27 20:42:36)
Longitude can be referenced in the same way as latitude, using a different search index.
	-Lachlan Kermode</t>
      </text>
    </comment>
  </commentList>
</comments>
</file>

<file path=xl/sharedStrings.xml><?xml version="1.0" encoding="utf-8"?>
<sst xmlns="http://schemas.openxmlformats.org/spreadsheetml/2006/main" count="543" uniqueCount="284">
  <si>
    <t>Description</t>
  </si>
  <si>
    <t>Date</t>
  </si>
  <si>
    <t>Time</t>
  </si>
  <si>
    <t>Location</t>
  </si>
  <si>
    <t>Association 1</t>
  </si>
  <si>
    <t>Association 2</t>
  </si>
  <si>
    <t>Source</t>
  </si>
  <si>
    <t>Comments</t>
  </si>
  <si>
    <t>The Honduran Government, led by President Porfirio Lobo Sosa, enacts a new General Mining Law, lifting a seven-year moratorium on new mining concessions. The General Mining Law is criticised by the Honduran National Coalition of Environmental Networks (CONROA) for failing to prohibit open pit mining, adequately protect community water sources, foster adequate consultation prior to concessions being granted, and for a lack of transparency regarding the financial and technical aspects of mining projects.</t>
  </si>
  <si>
    <t>n1</t>
  </si>
  <si>
    <t>c1</t>
  </si>
  <si>
    <t>src1</t>
  </si>
  <si>
    <t>The Honduran government enacts Decree 252-2013, which reduces the extent of the protected area of the Montaña de Botaderos National Park - commonly referred to as the Carlos Escaleras Mejía National Park - by 217 hectares.</t>
  </si>
  <si>
    <t>Montaña de Botaderos National Park</t>
  </si>
  <si>
    <t>src2</t>
  </si>
  <si>
    <t>The Honduran government grants Inversiones Los Pinares (then known as EMCO Mining Company) a ten-year license to exploit iron oxide deposits at two concessions within the Carlos Escaleras Mejía National Park. Both sites, known as ASP and ASP 2, fall within the pre-Decree 252-2013 protected areas of the national park.</t>
  </si>
  <si>
    <t>ASP Mining Concession, Montaña de Botaderos National Park</t>
  </si>
  <si>
    <t>src3</t>
  </si>
  <si>
    <t>Inversiones ECOTEK (part of EMCO Group) obtains a provisional licence to construct an iron pelletizing plant at a site in Tocoa in direct proximity to the river Guapinol. Construction is underway for an access road which will connect the planned mine site to the pelletizing plant.</t>
  </si>
  <si>
    <t>ECOTEK Processing Plant, Tocoa</t>
  </si>
  <si>
    <t>src4</t>
  </si>
  <si>
    <t>Residents of Guapinol begin sharing photos on social media showing the Guapinol river appearing chocolate brown and thick with muddy sediment. Locals attribute this to the construction of the access road to the mining concession, which appears to have caused heavy sediment to contaminate the water of the Guapinol and San Pedro Rivers.</t>
  </si>
  <si>
    <t>Rio Guapinol, Guapinol</t>
  </si>
  <si>
    <t>n2</t>
  </si>
  <si>
    <t>c2</t>
  </si>
  <si>
    <t>src5</t>
  </si>
  <si>
    <t>Residents organise an urgent community meeting to discuss the development of the mining project.</t>
  </si>
  <si>
    <t>Centro Basico, Guapinol</t>
  </si>
  <si>
    <t>src6</t>
  </si>
  <si>
    <t>Three days after the community meeting, residents organise a peaceful demonstration outside Caja Rural, Guapinol, the site of a meeting between Los Pinares Inversiones and the Chief Inspector of Drinking Water.</t>
  </si>
  <si>
    <t>Caja Rural, Guapinol</t>
  </si>
  <si>
    <t>src7</t>
  </si>
  <si>
    <t>Residents circulate further images of the contaminated river, as well as videos of contaminated tap water in homes in Guapinol.</t>
  </si>
  <si>
    <t>src8</t>
  </si>
  <si>
    <t>Residents of the village establish a protest camp on the access road to the mine​, commonly known as the ‘Guapinol Encampment in Defence of Water and Life.’</t>
  </si>
  <si>
    <t>Guapinol Encampment in Defence of Water and Life</t>
  </si>
  <si>
    <t>src9</t>
  </si>
  <si>
    <t>During a dispute between the residents of the camp and Inversiones Los Pinares staff and contracted security personnel, a security official shoots and wounds community member Rigoberto Bonilla Hernández. In response, the director of security is detained by protesters and handed to police. A vehicle and two containers belonging to Inversiones Los Pinares are allegedly set alight during the dispute.</t>
  </si>
  <si>
    <t>n3</t>
  </si>
  <si>
    <t>c3</t>
  </si>
  <si>
    <t>src10</t>
  </si>
  <si>
    <t>The Public Prosecutor’s office issues arrest warrants - approved by a National Jurisdiction Judge in San Pedro Sula - for the arrest of eighteen community members. This is considered extraordinary as sentencing courts at the National Jurisdiction are usually reserved for high impact criminal cases, with a particular focus on organized crime.</t>
  </si>
  <si>
    <t>n4</t>
  </si>
  <si>
    <t>c4</t>
  </si>
  <si>
    <t>src11</t>
  </si>
  <si>
    <t>On the basis of a judicial eviction order at least 1,200 police and army personnel, including a specialist militarised police unit known as ‘TIGRE’, are deployed to evict the encampment. Witnesses report live rounds and tear gas being used, and protesters being beaten. The altercation results in the death of two military personnel and one community member, with over a dozen individuals wounded.</t>
  </si>
  <si>
    <t>src12</t>
  </si>
  <si>
    <t>Thirteen community members voluntarily appear before a court in La Ceiba, where they learn of a second arrest warrant accusing 31 community members of unjust deprivation of liberty, aggravated arson, theft, and unlawful association in relation to the events that took place 7 September 2018. They are subsequently held in pretrial detention in Tegucigalpa.</t>
  </si>
  <si>
    <t>Edificio Judicial de La Ceiba, La Ceiba</t>
  </si>
  <si>
    <t>src13</t>
  </si>
  <si>
    <t>Members of the CMDBCP, the San Alonso Rodríguez Foundation, and the Coalition Against Impunity, file a constitutional challenge against Decree 252-2013.</t>
  </si>
  <si>
    <t>c5</t>
  </si>
  <si>
    <t>src14</t>
  </si>
  <si>
    <t>A National Jurisdiction judge in Tegucigalpa dismisses the charges against the thirteen defenders during the initial hearings. The judge considered that the actions fell within the Honduran Secretary of Human Rights ’definition of a “socio-environmental conflict”, and decided that the protest was legitimate, given it was the only tool available for civil society actors to gain the attention of relevant State officials.</t>
  </si>
  <si>
    <t>Juzgado de Jurisdicción Nacional, Tegucigalpa</t>
  </si>
  <si>
    <t>c6</t>
  </si>
  <si>
    <t>src15</t>
  </si>
  <si>
    <t>The detainees are released.</t>
  </si>
  <si>
    <t>src16</t>
  </si>
  <si>
    <t>Seven additional community members voluntarily appear before a National Jurisdiction judge in Tegucigalpa to address charges from the second arrest warrant. They arrive carrying a casket representing an eighth deceased community member. They are joined by en eight community member, Jeremías Martínez Díaz, who was being held in pretrial detention in La Ceiba since December 2018 facing the same charges.</t>
  </si>
  <si>
    <t>src17</t>
  </si>
  <si>
    <t>Roberto Antonio Argueta Tejada, an environmental defender from Colón, is shot to death near the San Isidro hospital in Tocoa. Source.</t>
  </si>
  <si>
    <t>Hospital San Isidro, Tocoa</t>
  </si>
  <si>
    <t>src18</t>
  </si>
  <si>
    <t>In Tegucigalpa, National Jurisdiction Judge Claudio Aguilar grants Arnold Javier Alemán a temporary dismissal on the charges of illegal trespass and damages, leaving the remainder of the charges intact.</t>
  </si>
  <si>
    <t>src19</t>
  </si>
  <si>
    <t>National Jurisdiction Judge Lizeth Vallecillo issues a ruling that links the nine environmental defenders to judicial proceeding for crimes of aggravated arson and unjust deprivation of liberty, while dismissing the crimes of illicit association and theft. They are subsequently placed in pretrial detention in Olanchito.</t>
  </si>
  <si>
    <t>src20</t>
  </si>
  <si>
    <t>The National Jurisdiction Court of Appeals rejects a habeas corpus petition filed by the defence attorney. In response, prominent international advocacy organizations, including the Due Process of Law Foundation (DPLF), Human Rights Research and Education Centre, and the Collective Corporation of Lawyers “José Alvear Restrepo” filed a joint amicus brief echoing the defense attorneys ’previously expressed concerns and asserting that the community leaders ’detention was in violation of both domestic and international law.</t>
  </si>
  <si>
    <t>src21</t>
  </si>
  <si>
    <t>Following another hearing, the decision is made to extend the pretrial detention of the Guapinol activists.</t>
  </si>
  <si>
    <t>src22</t>
  </si>
  <si>
    <t>A series of break-ins are reported at the Tocoa office of the Coordinadora de Organizaciones Populares del Aguán (COPA), a conglomerate of organisations defending human, enviornmental, and social rights in the Aguan Valley Region. Unidentified individuals stole a computer and printer and ransacked drawers filled with documents. COPA member Carlos Leonel George reported the incident to the police. However, rather than investigate the break-ins, the police arrested Carlos Leonel George, who was one of the twelve Guapinol community members who voluntarily went to court in February 2019, only to have all the charges against them dismissed.</t>
  </si>
  <si>
    <t>src23</t>
  </si>
  <si>
    <t>The Center for International Justice and Law (CEJIL) submits an amicus brief to the National Jurisdiction Court of Appeals.</t>
  </si>
  <si>
    <t>c7</t>
  </si>
  <si>
    <t>src24</t>
  </si>
  <si>
    <t>A group of civil society organizations, including the National Committee against Torture and Cruel, Inhumane, and Degrading Treatment (MNP-CONAPREV) and the Committee for Family of the Detained and Disappeared (COFADEH), amongst others, file a second habeas corpus petition with the Supreme Court of Honduras.</t>
  </si>
  <si>
    <t>src25</t>
  </si>
  <si>
    <t>In Tegucigalpa, the National Jurisdiction Court of Appeals a dismissal previously issued in favour of human rights defenders Juan Antonio López, Carlos Leonel George, Reinaldo Domínguez, José Adalid Cedillo and Marco Tulio Ramos.</t>
  </si>
  <si>
    <t>src26</t>
  </si>
  <si>
    <t>The Honduran Human Rights Ombudsperson writes a public letter directed at the judicial authorities which describes the detained members of the CMDBCP as human rights activists engaged in legitimate protest activities.</t>
  </si>
  <si>
    <t>src27</t>
  </si>
  <si>
    <t>Joaquin Morazan Erazo, named in the 2018 arrest warrant, is shot and killed at his home in Tocoa, Colon.</t>
  </si>
  <si>
    <t>Tocoa</t>
  </si>
  <si>
    <t>src28</t>
  </si>
  <si>
    <t>The Office of the United Nations High Commissioner for Human Rights (UN OHCHR) issues a country report raising concerns about the misuse of the judicial system in the Guapinol case.</t>
  </si>
  <si>
    <t>src29</t>
  </si>
  <si>
    <t>The UN Working Group on Arbitrary Detention declares the Guapinol Eight -- Porfirio Sorto Cedillo, José Abelino Cedillo, Kelvin Alejandro Romero, Arnol Javier Alemán, Ever Alexander Cedillo, Orbin Nahún Hernández, and Daniel Márquez -- to be arbitrarily detained and calls for their release.</t>
  </si>
  <si>
    <t>src30</t>
  </si>
  <si>
    <t>The preventive detention of the Guapinol Eight is extended for an six additional months.</t>
  </si>
  <si>
    <t>src31</t>
  </si>
  <si>
    <t>The trial against the Guapinol Eight begins, after over two years of pre-trial detention.</t>
  </si>
  <si>
    <t>src32</t>
  </si>
  <si>
    <t>Amnesty International writes an open letter expressing concerns about irregularities in the prosecution of the Guapinol Eight.</t>
  </si>
  <si>
    <t>src33</t>
  </si>
  <si>
    <t>The court in Trujillo finds six of the Guapinol Eight guilty of multiple crimes, including illegal deprivation of liberty and aggravated damages against a contractor of Inversiones Los Pinares, and simple and aggravated damages against the company itself.</t>
  </si>
  <si>
    <t>src34</t>
  </si>
  <si>
    <t>One day after the sentencing, the Supreme Court declares a mistrial and grants injunctions in favour of the Guapinol Eight.</t>
  </si>
  <si>
    <t>Corte Suprema de Justicia, Tegucigalpa</t>
  </si>
  <si>
    <t>src35</t>
  </si>
  <si>
    <t>Environmental rights defenders José Daniel Márquez, José Abelino Cedillo, Ewer Cedillo, Kelvin Romero, Orbin Nahún Hernández and Porfirio Soto, are released on bail after 914 days spent in pre-trial detention.</t>
  </si>
  <si>
    <t>src36</t>
  </si>
  <si>
    <t>Aly Magdaleno Domínguez Ramos and Jairo Bonilla Ayala, among the 32 activists criminalised for their opposition to the mining project, are murdered in Guapinol.</t>
  </si>
  <si>
    <t>Guapinol</t>
  </si>
  <si>
    <t>src37</t>
  </si>
  <si>
    <t>Six activists discover they may still face criminal prosecution as a result of an appeal by the Prosecutor's office.</t>
  </si>
  <si>
    <t>src38</t>
  </si>
  <si>
    <t>Activists from Guapinol report two drones surveilling their homes.</t>
  </si>
  <si>
    <t>src39</t>
  </si>
  <si>
    <t>Oquelí Domínguez, brother of Aly and Reynaldo Domínguez, is murdered in his home in Guapinol.</t>
  </si>
  <si>
    <t>src40</t>
  </si>
  <si>
    <t>More than 2,500 community members attend a Public Assembly scheduled to discuss the future of the Los Pinares-ECOTEK megaproject, before the meeting is prematurely suspended by Mayor Adán Fúnez.</t>
  </si>
  <si>
    <t>Instituto Froylan Turcios, Tocoa</t>
  </si>
  <si>
    <t>src41</t>
  </si>
  <si>
    <t>The original permits for the ASP and ASP 2 mining concessions expire. Residents organise a protest asking for the permits not to be renewed.</t>
  </si>
  <si>
    <t>src42</t>
  </si>
  <si>
    <t>A second Public Assembly, called by Mayor Adán Fúnez without the required support of municipal institutions, is suspended following a legal appeal filed by the CMDBPC.</t>
  </si>
  <si>
    <t>src43</t>
  </si>
  <si>
    <t>Plans for a petroleum coke thermoelectric plant are approved at an open council meeting convened by the Tocoa Mayor’s Office. The plant forms part of the Los Pinares/Ecotek project, which already includes the two mining concessions and the iron oxide processing plant. The legitimacy of the meeting and its outcome is disputed by the CMDBCP and other community groups who stage an opposition protest.</t>
  </si>
  <si>
    <t>Alcaldia, Tocoa</t>
  </si>
  <si>
    <t>src44</t>
  </si>
  <si>
    <t>The Honduran government adopts Executive Decree 18-2024, restoring the original layout of Carlos Escaleras National Park.</t>
  </si>
  <si>
    <t>src45</t>
  </si>
  <si>
    <t>Juan López, Coordinator of the CMDBPC, is shot dead by a group of armed individuals outside of his workplace, the San Isidro Labrador parish in Tocoa, Colon.</t>
  </si>
  <si>
    <t>San Isidro Labrador, Tocoa</t>
  </si>
  <si>
    <t>src46</t>
  </si>
  <si>
    <t>The Second Court of Appeals of La Ceiba reopens criminal proceedings against CMDBPC members Carlos Leonel George, Reynaldo Domínguez, José Adaly Cedillo, Marco Tulio Ramos, and the late Juan López.</t>
  </si>
  <si>
    <t>src47</t>
  </si>
  <si>
    <t>Zoe Doralina Guifarro, a judge in Tocoa, Colon, finally grants a definitive letter of freedom to Carlos Leonel George George, Reynaldo Domínguez Ramos, José Adaly Cedillo Mendoza, Marco Tulio Ramos, and the late Juan Antonio López.</t>
  </si>
  <si>
    <t>Palacio de Justicia de Tocoa, Tocoa</t>
  </si>
  <si>
    <t>src48</t>
  </si>
  <si>
    <t>Investigators identify Tocoa Mayor Adán Fúnez as a subject of interest in Juan López’s murder, following the discovery of evidence that he had conversations with at least one of the three hitmen arrested in October 2024 in relation to the crime.</t>
  </si>
  <si>
    <t>src49</t>
  </si>
  <si>
    <t>Residents organise a public press conference calling for the expulsion of Los Pinares/Ecotek from the Carlos Escaleras National Park, and the imprisonment of those responsible for the murder of Juan López..</t>
  </si>
  <si>
    <t>Ministerio Público, Tegucigalpa</t>
  </si>
  <si>
    <t>src50</t>
  </si>
  <si>
    <t>Three Los Pinares/Ecotek executives are summoned before the National Jurisdiction Court in relation to charges of illegal exploitation and aggravated damages.</t>
  </si>
  <si>
    <t>src51</t>
  </si>
  <si>
    <t>ID</t>
  </si>
  <si>
    <t>Mode</t>
  </si>
  <si>
    <t>Filter Path</t>
  </si>
  <si>
    <t>Development of the Los Pinares / ECOTEK Megaproject</t>
  </si>
  <si>
    <t>NARRATIVE</t>
  </si>
  <si>
    <t>Community Response to the Megaproject</t>
  </si>
  <si>
    <t>Violence Against Guapinol Defenders</t>
  </si>
  <si>
    <t>Legal Proceedings Against the Guapinol Defenders</t>
  </si>
  <si>
    <t>Legal and Regulatory Changes</t>
  </si>
  <si>
    <t>CATEGORY</t>
  </si>
  <si>
    <t>Community Resistance</t>
  </si>
  <si>
    <t>Violence and Conflict</t>
  </si>
  <si>
    <t>Criminalization of Defenders</t>
  </si>
  <si>
    <t>Legal Advocacy</t>
  </si>
  <si>
    <t>Legal Proceedings</t>
  </si>
  <si>
    <t>International Advocacy</t>
  </si>
  <si>
    <t>Title</t>
  </si>
  <si>
    <t>Thumbnail</t>
  </si>
  <si>
    <t>Path 1</t>
  </si>
  <si>
    <t>Path 2</t>
  </si>
  <si>
    <t>Path 3</t>
  </si>
  <si>
    <t>Path 4</t>
  </si>
  <si>
    <t>Type</t>
  </si>
  <si>
    <t>Honduran Government Enacts New General Mining Law</t>
  </si>
  <si>
    <t>Photo</t>
  </si>
  <si>
    <t>Honduras Reduces Carlos Escaleras Mejía National Park Protected Area</t>
  </si>
  <si>
    <t>images/231213.png</t>
  </si>
  <si>
    <t>Photobook</t>
  </si>
  <si>
    <t>Los Pinares Granted Mining License in National Park</t>
  </si>
  <si>
    <t>images/28012014.png</t>
  </si>
  <si>
    <t>Video</t>
  </si>
  <si>
    <t>ECOTEK Obtains License for Iron Pelletizing Plant</t>
  </si>
  <si>
    <t>Eyewitness Testimony</t>
  </si>
  <si>
    <t>Guapinol River Contamination Documented by Residents</t>
  </si>
  <si>
    <t>images/26042018.jpg</t>
  </si>
  <si>
    <t>images/26042018a.jpg</t>
  </si>
  <si>
    <t>images/26042018b.jpg</t>
  </si>
  <si>
    <t>images/26042018c.jpg</t>
  </si>
  <si>
    <t>Erroneous</t>
  </si>
  <si>
    <t>Community Meeting Organized to Discuss Mining Project</t>
  </si>
  <si>
    <t>images/07052018.jpg</t>
  </si>
  <si>
    <t>Peaceful Demonstration at Caja Rural Meeting</t>
  </si>
  <si>
    <t>Peaceful Demonstration at Caja Rural</t>
  </si>
  <si>
    <t>images/10052018.jpg</t>
  </si>
  <si>
    <t>images/10052018a.jpg</t>
  </si>
  <si>
    <t>images/10052018b.jpg</t>
  </si>
  <si>
    <t>Further River Contamination Evidence Circulated</t>
  </si>
  <si>
    <t>images/30072018.jpg</t>
  </si>
  <si>
    <t>images/30072018a.mp4</t>
  </si>
  <si>
    <t>Guapinol Encampment Established to Defend Water</t>
  </si>
  <si>
    <t>images/01082018.jpg</t>
  </si>
  <si>
    <t>images/01082018a.jpg</t>
  </si>
  <si>
    <t>images/01082018b.jpg</t>
  </si>
  <si>
    <t>Security Official Shoots Protester During Dispute</t>
  </si>
  <si>
    <t>images/07092018.jpg</t>
  </si>
  <si>
    <t>Arrest Warrants Issued for Eighteen Community Members</t>
  </si>
  <si>
    <t>Police and Military Evict Encampment with Violence</t>
  </si>
  <si>
    <t>images/27102018.mp4</t>
  </si>
  <si>
    <t>Thirteen Community Members Appear Before Court</t>
  </si>
  <si>
    <t>Constitutional Challenge Filed Against Decree 252-2013</t>
  </si>
  <si>
    <t>Charges Dismissed Against Thirteen Defenders</t>
  </si>
  <si>
    <t>Detained Protesters Released</t>
  </si>
  <si>
    <t>images/06032019.jpg</t>
  </si>
  <si>
    <t>Seven Additional Community Members Appear in Court</t>
  </si>
  <si>
    <t>images/26082019.mp4</t>
  </si>
  <si>
    <t>Environmental Defender Roberto Argueta Assassinated</t>
  </si>
  <si>
    <t>images/28082019.jpg</t>
  </si>
  <si>
    <t>Temporary Dismissal Granted to Arnold Alemán</t>
  </si>
  <si>
    <t>Nine Environmental Defenders Placed in Pretrial Detention</t>
  </si>
  <si>
    <t>images/01092019.mp4</t>
  </si>
  <si>
    <t>Court Rejects Habeas Corpus Petition</t>
  </si>
  <si>
    <t>Pretrial Detention Extended for Guapinol Activists</t>
  </si>
  <si>
    <t>Break-ins Reported at COPA Office</t>
  </si>
  <si>
    <t>CEJIL Submits Amicus Brief to Court of Appeals</t>
  </si>
  <si>
    <t>Second Habeas Corpus Petition Filed with Supreme Court</t>
  </si>
  <si>
    <t>Court of Appeals Overturns Previous Dismissal</t>
  </si>
  <si>
    <t>Human Rights Ombudsperson Defends CMDBCP Members</t>
  </si>
  <si>
    <t>Joaquin Morazan Erazo Assassinated</t>
  </si>
  <si>
    <t>images/13102020.jpg</t>
  </si>
  <si>
    <t>UN OHCHR Issues Report on Judicial System Misuse</t>
  </si>
  <si>
    <t>UN Working Group Declares Guapinol Eight Arbitrarily Detained</t>
  </si>
  <si>
    <t>Preventive Detention Extended for Guapinol Eight</t>
  </si>
  <si>
    <t>Trial Against Guapinol Eight Begins After Two Years</t>
  </si>
  <si>
    <t>images/01122021.mp4</t>
  </si>
  <si>
    <t>Amnesty International Expresses Concerns About Trial</t>
  </si>
  <si>
    <t>images/11122021.jpg</t>
  </si>
  <si>
    <t>Court Finds Six Defendants Guilty of Multiple Crimes</t>
  </si>
  <si>
    <t>Supreme Court Declares Mistrial and Grants Injunctions</t>
  </si>
  <si>
    <t>Environmental Defenders Released on Bail After 914 Days</t>
  </si>
  <si>
    <t>images/25022022.jpg</t>
  </si>
  <si>
    <t>Two Anti-Mining Activists Murdered in Guapinol</t>
  </si>
  <si>
    <t>images/07012023.jpg</t>
  </si>
  <si>
    <t>Six Activists Face Possible Further Prosecution</t>
  </si>
  <si>
    <t>Drones Reported Surveilling Activists' Homes</t>
  </si>
  <si>
    <t>images/21022023.jpg</t>
  </si>
  <si>
    <t>Oquelí Domínguez Murdered in Guapinol</t>
  </si>
  <si>
    <t>images/15062023.jpg</t>
  </si>
  <si>
    <t>Public Assembly on Los Pinares Project Prematurely Suspended</t>
  </si>
  <si>
    <t>images/09122023.jpg</t>
  </si>
  <si>
    <t>Mining Concession Permits Expire and Protests Organized</t>
  </si>
  <si>
    <t>images/28012024.mp4</t>
  </si>
  <si>
    <t>images/28012024a.jpg</t>
  </si>
  <si>
    <t>Second Public Assembly Suspended Following Legal Appeal</t>
  </si>
  <si>
    <t>images/31012024.jpg</t>
  </si>
  <si>
    <t>Petroleum Coke Plant Approved Amid Community Opposition</t>
  </si>
  <si>
    <t>images/13062024.jpg</t>
  </si>
  <si>
    <t>images/13062024a.mp4</t>
  </si>
  <si>
    <t>Government Restores Original Carlos Escaleras National Park Boundaries</t>
  </si>
  <si>
    <t>CMDBCP Coordinator Juan López Assassinated</t>
  </si>
  <si>
    <t>images/14092024.jpg</t>
  </si>
  <si>
    <t>Criminal Proceedings Reopened Against CMDBCP Members</t>
  </si>
  <si>
    <t>Definitive Freedom Granted to Remaining Defendants</t>
  </si>
  <si>
    <t>Mayor Adán Fúnez Identified as Person of Interest in Murder Case</t>
  </si>
  <si>
    <t>Residents Call for Los Pinares Expulsion and Justice for Juan López</t>
  </si>
  <si>
    <t>images/26022025.mp4</t>
  </si>
  <si>
    <t>Los Pinares Executives Summoned to Court on Criminal Charges</t>
  </si>
  <si>
    <t>images/28022025.jpg</t>
  </si>
  <si>
    <t>First category</t>
  </si>
  <si>
    <t>Second category</t>
  </si>
  <si>
    <t>Third category</t>
  </si>
  <si>
    <t>Fourth category</t>
  </si>
  <si>
    <t>Fifth category</t>
  </si>
  <si>
    <t>Sixth category</t>
  </si>
  <si>
    <t>Lat</t>
  </si>
  <si>
    <t>description</t>
  </si>
  <si>
    <t>date</t>
  </si>
  <si>
    <t>time</t>
  </si>
  <si>
    <t>location</t>
  </si>
  <si>
    <t>latitude</t>
  </si>
  <si>
    <t>longitude</t>
  </si>
  <si>
    <t>association1</t>
  </si>
  <si>
    <t>association2</t>
  </si>
  <si>
    <t>source1</t>
  </si>
  <si>
    <t>id</t>
  </si>
  <si>
    <t>title</t>
  </si>
  <si>
    <t>thumbnail</t>
  </si>
  <si>
    <t>path1</t>
  </si>
  <si>
    <t>path2</t>
  </si>
  <si>
    <t>path3</t>
  </si>
  <si>
    <t>type</t>
  </si>
  <si>
    <t>desc</t>
  </si>
  <si>
    <t>mode</t>
  </si>
  <si>
    <t>filter_path0</t>
  </si>
  <si>
    <t>filter_path1</t>
  </si>
  <si>
    <t>filter_path2</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</si>
</sst>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d-mmm-yy"/>
    <numFmt numFmtId="165" formatCode="hh:mm"/>
    <numFmt numFmtId="166" formatCode="dd-mmm-yy"/>
    <numFmt numFmtId="167" formatCode="dd-mmmm-yy"/>
    <numFmt numFmtId="168" formatCode="d-mmmm-yy"/>
    <numFmt numFmtId="169" formatCode="d/m/yyyy"/>
  </numFmts>
  <fonts count="17">
    <font>
      <sz val="10.0"/>
      <color rgb="FF000000"/>
      <name val="Calibri"/>
      <scheme val="minor"/>
    </font>
    <font>
      <b/>
      <sz val="10.0"/>
      <color theme="1"/>
      <name val="Calibri"/>
    </font>
    <font>
      <sz val="10.0"/>
      <color theme="1"/>
      <name val="Calibri"/>
    </font>
    <font>
      <b/>
      <sz val="10.0"/>
      <color rgb="FF000000"/>
      <name val="Arial"/>
    </font>
    <font>
      <color theme="1"/>
      <name val="Calibri"/>
      <scheme val="minor"/>
    </font>
    <font>
      <sz val="10.0"/>
      <color rgb="FF000000"/>
      <name val="Calibri"/>
    </font>
    <font>
      <b/>
      <sz val="10.0"/>
      <color theme="1"/>
      <name val="Arial"/>
    </font>
    <font>
      <sz val="10.0"/>
      <color theme="1"/>
      <name val="Arial"/>
    </font>
    <font>
      <color theme="1"/>
      <name val="Calibri"/>
    </font>
    <font>
      <color rgb="FF000000"/>
      <name val="Calibri"/>
    </font>
    <font>
      <b/>
      <sz val="11.0"/>
      <color theme="1"/>
      <name val="Calibri"/>
    </font>
    <font>
      <sz val="11.0"/>
      <color rgb="FF000000"/>
      <name val="Calibri"/>
    </font>
    <font>
      <b/>
      <sz val="10.0"/>
      <color rgb="FF000000"/>
      <name val="Calibri"/>
    </font>
    <font>
      <sz val="11.0"/>
      <color rgb="FFF7981D"/>
      <name val="Calibri"/>
    </font>
    <font>
      <sz val="11.0"/>
      <color rgb="FFF7981D"/>
      <name val="Arial"/>
    </font>
    <font>
      <u/>
      <sz val="10.0"/>
      <color rgb="FF0000FF"/>
      <name val="Arial"/>
    </font>
    <font>
      <color theme="1"/>
      <name val="Arial"/>
    </font>
  </fonts>
  <fills count="2">
    <fill>
      <patternFill patternType="none"/>
    </fill>
    <fill>
      <patternFill patternType="lightGray"/>
    </fill>
  </fills>
  <borders count="1">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Font="1"/>
    <xf borderId="0" fillId="0" fontId="2" numFmtId="0" xfId="0" applyFont="1"/>
    <xf borderId="0" fillId="0" fontId="2" numFmtId="164" xfId="0" applyAlignment="1" applyFont="1" applyNumberFormat="1">
      <alignment horizontal="right" shrinkToFit="0" vertical="bottom" wrapText="0"/>
    </xf>
    <xf borderId="0" fillId="0" fontId="2" numFmtId="165" xfId="0" applyFont="1" applyNumberFormat="1"/>
    <xf borderId="0" fillId="0" fontId="2" numFmtId="0" xfId="0" applyAlignment="1" applyFont="1">
      <alignment shrinkToFit="0" vertical="bottom" wrapText="0"/>
    </xf>
    <xf borderId="0" fillId="0" fontId="2" numFmtId="0" xfId="0" applyFont="1"/>
    <xf borderId="0" fillId="0" fontId="2" numFmtId="0" xfId="0" applyAlignment="1" applyFont="1">
      <alignment shrinkToFit="0" wrapText="1"/>
    </xf>
    <xf borderId="0" fillId="0" fontId="2" numFmtId="0" xfId="0" applyAlignment="1" applyFont="1">
      <alignment vertical="bottom"/>
    </xf>
    <xf borderId="0" fillId="0" fontId="2" numFmtId="166" xfId="0" applyAlignment="1" applyFont="1" applyNumberFormat="1">
      <alignment horizontal="right" shrinkToFit="0" vertical="bottom" wrapText="0"/>
    </xf>
    <xf borderId="0" fillId="0" fontId="2" numFmtId="167" xfId="0" applyAlignment="1" applyFont="1" applyNumberFormat="1">
      <alignment horizontal="right" shrinkToFit="0" vertical="bottom" wrapText="0"/>
    </xf>
    <xf borderId="0" fillId="0" fontId="2" numFmtId="168" xfId="0" applyAlignment="1" applyFont="1" applyNumberFormat="1">
      <alignment horizontal="right" shrinkToFit="0" vertical="bottom" wrapText="0"/>
    </xf>
    <xf borderId="0" fillId="0" fontId="2" numFmtId="0" xfId="0" applyAlignment="1" applyFont="1">
      <alignment horizontal="left" vertical="top"/>
    </xf>
    <xf borderId="0" fillId="0" fontId="2" numFmtId="0" xfId="0" applyAlignment="1" applyFont="1">
      <alignment shrinkToFit="0" vertical="top" wrapText="0"/>
    </xf>
    <xf borderId="0" fillId="0" fontId="3" numFmtId="0" xfId="0" applyFont="1"/>
    <xf borderId="0" fillId="0" fontId="4" numFmtId="0" xfId="0" applyAlignment="1" applyFont="1">
      <alignment readingOrder="0"/>
    </xf>
    <xf borderId="0" fillId="0" fontId="5" numFmtId="0" xfId="0" applyAlignment="1" applyFont="1">
      <alignment shrinkToFit="0" vertical="bottom" wrapText="0"/>
    </xf>
    <xf borderId="0" fillId="0" fontId="6" numFmtId="0" xfId="0" applyFont="1"/>
    <xf borderId="0" fillId="0" fontId="7" numFmtId="0" xfId="0" applyFont="1"/>
    <xf borderId="0" fillId="0" fontId="8" numFmtId="0" xfId="0" applyFont="1"/>
    <xf borderId="0" fillId="0" fontId="9" numFmtId="0" xfId="0" applyAlignment="1" applyFont="1">
      <alignment shrinkToFit="0" vertical="bottom" wrapText="0"/>
    </xf>
    <xf borderId="0" fillId="0" fontId="9"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shrinkToFit="0" vertical="bottom" wrapText="0"/>
    </xf>
    <xf borderId="0" fillId="0" fontId="9" numFmtId="0" xfId="0" applyAlignment="1" applyFont="1">
      <alignment shrinkToFit="0" vertical="top" wrapText="0"/>
    </xf>
    <xf borderId="0" fillId="0" fontId="8" numFmtId="0" xfId="0" applyAlignment="1" applyFont="1">
      <alignment vertical="bottom"/>
    </xf>
    <xf borderId="0" fillId="0" fontId="12" numFmtId="0" xfId="0" applyFont="1"/>
    <xf borderId="0" fillId="0" fontId="2" numFmtId="169" xfId="0" applyFont="1" applyNumberFormat="1"/>
    <xf borderId="0" fillId="0" fontId="13" numFmtId="0" xfId="0" applyFont="1"/>
    <xf borderId="0" fillId="0" fontId="14" numFmtId="0" xfId="0" applyFont="1"/>
    <xf borderId="0" fillId="0" fontId="15" numFmtId="0" xfId="0" applyFont="1"/>
    <xf borderId="0" fillId="0" fontId="6" numFmtId="0" xfId="0" applyAlignment="1" applyFont="1">
      <alignment readingOrder="0"/>
    </xf>
    <xf borderId="0" fillId="0" fontId="16"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0"/>
    <col customWidth="1" min="2" max="2" width="16.43"/>
    <col customWidth="1" min="3" max="4" width="19.29"/>
    <col customWidth="1" min="5" max="5" width="14.43"/>
    <col customWidth="1" min="6" max="6" width="24.29"/>
    <col customWidth="1" min="8" max="8" width="43.71"/>
  </cols>
  <sheetData>
    <row r="1" ht="15.75" customHeight="1">
      <c r="A1" s="1" t="s">
        <v>0</v>
      </c>
      <c r="B1" s="2" t="s">
        <v>1</v>
      </c>
      <c r="C1" s="2" t="s">
        <v>2</v>
      </c>
      <c r="D1" s="2" t="s">
        <v>3</v>
      </c>
      <c r="E1" s="2" t="s">
        <v>4</v>
      </c>
      <c r="F1" s="2" t="s">
        <v>5</v>
      </c>
      <c r="G1" s="2" t="s">
        <v>6</v>
      </c>
      <c r="H1" s="1" t="s">
        <v>7</v>
      </c>
    </row>
    <row r="2">
      <c r="A2" s="3" t="s">
        <v>8</v>
      </c>
      <c r="B2" s="4">
        <v>41297.0</v>
      </c>
      <c r="C2" s="5"/>
      <c r="D2" s="6"/>
      <c r="E2" s="7" t="s">
        <v>9</v>
      </c>
      <c r="F2" s="7" t="s">
        <v>10</v>
      </c>
      <c r="G2" s="3" t="s">
        <v>11</v>
      </c>
      <c r="H2" s="8"/>
    </row>
    <row r="3" ht="17.25" customHeight="1">
      <c r="A3" s="9" t="s">
        <v>12</v>
      </c>
      <c r="B3" s="4">
        <v>41631.0</v>
      </c>
      <c r="C3" s="3"/>
      <c r="D3" s="6" t="s">
        <v>13</v>
      </c>
      <c r="E3" s="7" t="s">
        <v>9</v>
      </c>
      <c r="F3" s="7" t="s">
        <v>10</v>
      </c>
      <c r="G3" s="3" t="s">
        <v>14</v>
      </c>
      <c r="H3" s="8"/>
    </row>
    <row r="4" ht="15.75" customHeight="1">
      <c r="A4" s="9" t="s">
        <v>15</v>
      </c>
      <c r="B4" s="4">
        <v>41667.0</v>
      </c>
      <c r="C4" s="3"/>
      <c r="D4" s="6" t="s">
        <v>16</v>
      </c>
      <c r="E4" s="7" t="s">
        <v>9</v>
      </c>
      <c r="F4" s="7" t="s">
        <v>10</v>
      </c>
      <c r="G4" s="3" t="s">
        <v>17</v>
      </c>
      <c r="H4" s="8"/>
    </row>
    <row r="5" ht="15.75" customHeight="1">
      <c r="A5" s="9" t="s">
        <v>18</v>
      </c>
      <c r="B5" s="10">
        <v>43132.0</v>
      </c>
      <c r="C5" s="3"/>
      <c r="D5" s="6" t="s">
        <v>19</v>
      </c>
      <c r="E5" s="7" t="s">
        <v>9</v>
      </c>
      <c r="F5" s="7" t="s">
        <v>10</v>
      </c>
      <c r="G5" s="3" t="s">
        <v>20</v>
      </c>
      <c r="H5" s="8"/>
    </row>
    <row r="6" ht="15.75" customHeight="1">
      <c r="A6" s="9" t="s">
        <v>21</v>
      </c>
      <c r="B6" s="4">
        <v>43216.0</v>
      </c>
      <c r="C6" s="3"/>
      <c r="D6" s="6" t="s">
        <v>22</v>
      </c>
      <c r="E6" s="7" t="s">
        <v>23</v>
      </c>
      <c r="F6" s="7" t="s">
        <v>24</v>
      </c>
      <c r="G6" s="3" t="s">
        <v>25</v>
      </c>
      <c r="H6" s="8"/>
    </row>
    <row r="7" ht="15.75" customHeight="1">
      <c r="A7" s="9" t="s">
        <v>26</v>
      </c>
      <c r="B7" s="11">
        <v>43227.0</v>
      </c>
      <c r="C7" s="3"/>
      <c r="D7" s="6" t="s">
        <v>27</v>
      </c>
      <c r="E7" s="7" t="s">
        <v>23</v>
      </c>
      <c r="F7" s="7" t="s">
        <v>24</v>
      </c>
      <c r="G7" s="3" t="s">
        <v>28</v>
      </c>
      <c r="H7" s="8"/>
    </row>
    <row r="8" ht="15.75" customHeight="1">
      <c r="A8" s="9" t="s">
        <v>29</v>
      </c>
      <c r="B8" s="12">
        <v>43230.0</v>
      </c>
      <c r="C8" s="3"/>
      <c r="D8" s="6" t="s">
        <v>30</v>
      </c>
      <c r="E8" s="7" t="s">
        <v>23</v>
      </c>
      <c r="F8" s="7" t="s">
        <v>24</v>
      </c>
      <c r="G8" s="3" t="s">
        <v>31</v>
      </c>
      <c r="H8" s="8"/>
    </row>
    <row r="9" ht="15.75" customHeight="1">
      <c r="A9" s="13" t="s">
        <v>32</v>
      </c>
      <c r="B9" s="4">
        <v>43311.0</v>
      </c>
      <c r="C9" s="3"/>
      <c r="D9" s="6"/>
      <c r="E9" s="7" t="s">
        <v>23</v>
      </c>
      <c r="F9" s="7" t="s">
        <v>24</v>
      </c>
      <c r="G9" s="3" t="s">
        <v>33</v>
      </c>
      <c r="H9" s="8"/>
    </row>
    <row r="10" ht="15.75" customHeight="1">
      <c r="A10" s="9" t="s">
        <v>34</v>
      </c>
      <c r="B10" s="10">
        <v>43313.0</v>
      </c>
      <c r="C10" s="3"/>
      <c r="D10" s="14" t="s">
        <v>35</v>
      </c>
      <c r="E10" s="7" t="s">
        <v>23</v>
      </c>
      <c r="F10" s="7" t="s">
        <v>24</v>
      </c>
      <c r="G10" s="3" t="s">
        <v>36</v>
      </c>
      <c r="H10" s="8"/>
    </row>
    <row r="11" ht="15.75" customHeight="1">
      <c r="A11" s="3" t="s">
        <v>37</v>
      </c>
      <c r="B11" s="10">
        <v>43350.0</v>
      </c>
      <c r="C11" s="3"/>
      <c r="D11" s="6" t="s">
        <v>35</v>
      </c>
      <c r="E11" s="7" t="s">
        <v>38</v>
      </c>
      <c r="F11" s="7" t="s">
        <v>39</v>
      </c>
      <c r="G11" s="3" t="s">
        <v>40</v>
      </c>
      <c r="H11" s="8"/>
    </row>
    <row r="12" ht="15.75" customHeight="1">
      <c r="A12" s="3" t="s">
        <v>41</v>
      </c>
      <c r="B12" s="10">
        <v>43374.0</v>
      </c>
      <c r="C12" s="3"/>
      <c r="D12" s="6"/>
      <c r="E12" s="7" t="s">
        <v>42</v>
      </c>
      <c r="F12" s="7" t="s">
        <v>43</v>
      </c>
      <c r="G12" s="3" t="s">
        <v>44</v>
      </c>
      <c r="H12" s="8"/>
    </row>
    <row r="13" ht="15.75" customHeight="1">
      <c r="A13" s="9" t="s">
        <v>45</v>
      </c>
      <c r="B13" s="4">
        <v>43400.0</v>
      </c>
      <c r="C13" s="3"/>
      <c r="D13" s="6" t="s">
        <v>35</v>
      </c>
      <c r="E13" s="7" t="s">
        <v>38</v>
      </c>
      <c r="F13" s="7" t="s">
        <v>39</v>
      </c>
      <c r="G13" s="3" t="s">
        <v>46</v>
      </c>
      <c r="H13" s="8"/>
    </row>
    <row r="14" ht="15.75" customHeight="1">
      <c r="A14" s="9" t="s">
        <v>47</v>
      </c>
      <c r="B14" s="4">
        <v>43517.0</v>
      </c>
      <c r="C14" s="3"/>
      <c r="D14" s="6" t="s">
        <v>48</v>
      </c>
      <c r="E14" s="7" t="s">
        <v>42</v>
      </c>
      <c r="F14" s="7" t="s">
        <v>43</v>
      </c>
      <c r="G14" s="3" t="s">
        <v>49</v>
      </c>
      <c r="H14" s="8"/>
    </row>
    <row r="15" ht="15.75" customHeight="1">
      <c r="A15" s="3" t="s">
        <v>50</v>
      </c>
      <c r="B15" s="4">
        <v>43521.0</v>
      </c>
      <c r="C15" s="3"/>
      <c r="D15" s="6"/>
      <c r="E15" s="7" t="s">
        <v>23</v>
      </c>
      <c r="F15" s="7" t="s">
        <v>51</v>
      </c>
      <c r="G15" s="3" t="s">
        <v>52</v>
      </c>
      <c r="H15" s="8"/>
    </row>
    <row r="16" ht="15.75" customHeight="1">
      <c r="A16" s="9" t="s">
        <v>53</v>
      </c>
      <c r="B16" s="10">
        <v>43526.0</v>
      </c>
      <c r="C16" s="3"/>
      <c r="D16" s="6" t="s">
        <v>54</v>
      </c>
      <c r="E16" s="7" t="s">
        <v>42</v>
      </c>
      <c r="F16" s="7" t="s">
        <v>55</v>
      </c>
      <c r="G16" s="3" t="s">
        <v>56</v>
      </c>
      <c r="H16" s="8"/>
    </row>
    <row r="17" ht="15.75" customHeight="1">
      <c r="A17" s="9" t="s">
        <v>57</v>
      </c>
      <c r="B17" s="10">
        <v>43530.0</v>
      </c>
      <c r="C17" s="3"/>
      <c r="D17" s="6"/>
      <c r="E17" s="7" t="s">
        <v>42</v>
      </c>
      <c r="F17" s="7" t="s">
        <v>55</v>
      </c>
      <c r="G17" s="3" t="s">
        <v>58</v>
      </c>
      <c r="H17" s="8"/>
    </row>
    <row r="18" ht="15.75" customHeight="1">
      <c r="A18" s="9" t="s">
        <v>59</v>
      </c>
      <c r="B18" s="4">
        <v>43703.0</v>
      </c>
      <c r="C18" s="3"/>
      <c r="D18" s="6" t="s">
        <v>54</v>
      </c>
      <c r="E18" s="7" t="s">
        <v>42</v>
      </c>
      <c r="F18" s="7" t="s">
        <v>43</v>
      </c>
      <c r="G18" s="3" t="s">
        <v>60</v>
      </c>
      <c r="H18" s="8"/>
    </row>
    <row r="19" ht="15.75" customHeight="1">
      <c r="A19" s="9" t="s">
        <v>61</v>
      </c>
      <c r="B19" s="4">
        <v>43705.0</v>
      </c>
      <c r="C19" s="3"/>
      <c r="D19" s="6" t="s">
        <v>62</v>
      </c>
      <c r="E19" s="7" t="s">
        <v>38</v>
      </c>
      <c r="F19" s="7" t="s">
        <v>39</v>
      </c>
      <c r="G19" s="3" t="s">
        <v>63</v>
      </c>
      <c r="H19" s="8"/>
    </row>
    <row r="20" ht="15.75" customHeight="1">
      <c r="A20" s="9" t="s">
        <v>64</v>
      </c>
      <c r="B20" s="4">
        <v>43707.0</v>
      </c>
      <c r="C20" s="3"/>
      <c r="D20" s="6" t="s">
        <v>54</v>
      </c>
      <c r="E20" s="7" t="s">
        <v>42</v>
      </c>
      <c r="F20" s="7" t="s">
        <v>55</v>
      </c>
      <c r="G20" s="3" t="s">
        <v>65</v>
      </c>
      <c r="H20" s="8"/>
    </row>
    <row r="21" ht="15.75" customHeight="1">
      <c r="A21" s="9" t="s">
        <v>66</v>
      </c>
      <c r="B21" s="10">
        <v>43709.0</v>
      </c>
      <c r="C21" s="3"/>
      <c r="D21" s="6" t="s">
        <v>54</v>
      </c>
      <c r="E21" s="7" t="s">
        <v>42</v>
      </c>
      <c r="F21" s="7" t="s">
        <v>43</v>
      </c>
      <c r="G21" s="3" t="s">
        <v>67</v>
      </c>
      <c r="H21" s="8"/>
    </row>
    <row r="22" ht="15.75" customHeight="1">
      <c r="A22" s="9" t="s">
        <v>68</v>
      </c>
      <c r="B22" s="4">
        <v>43733.0</v>
      </c>
      <c r="C22" s="3"/>
      <c r="D22" s="6" t="s">
        <v>54</v>
      </c>
      <c r="E22" s="7" t="s">
        <v>42</v>
      </c>
      <c r="F22" s="7" t="s">
        <v>55</v>
      </c>
      <c r="G22" s="3" t="s">
        <v>69</v>
      </c>
      <c r="H22" s="8"/>
    </row>
    <row r="23" ht="15.75" customHeight="1">
      <c r="A23" s="9" t="s">
        <v>70</v>
      </c>
      <c r="B23" s="10">
        <v>43775.0</v>
      </c>
      <c r="C23" s="3"/>
      <c r="D23" s="6" t="s">
        <v>54</v>
      </c>
      <c r="E23" s="7" t="s">
        <v>42</v>
      </c>
      <c r="F23" s="7" t="s">
        <v>43</v>
      </c>
      <c r="G23" s="3" t="s">
        <v>71</v>
      </c>
      <c r="H23" s="8"/>
    </row>
    <row r="24" ht="15.75" customHeight="1">
      <c r="A24" s="9" t="s">
        <v>72</v>
      </c>
      <c r="B24" s="10">
        <v>43800.0</v>
      </c>
      <c r="C24" s="3"/>
      <c r="D24" s="6"/>
      <c r="E24" s="7" t="s">
        <v>38</v>
      </c>
      <c r="F24" s="7" t="s">
        <v>39</v>
      </c>
      <c r="G24" s="3" t="s">
        <v>73</v>
      </c>
      <c r="H24" s="8"/>
    </row>
    <row r="25" ht="15.75" customHeight="1">
      <c r="A25" s="9" t="s">
        <v>74</v>
      </c>
      <c r="B25" s="4">
        <v>43888.0</v>
      </c>
      <c r="C25" s="3"/>
      <c r="D25" s="6"/>
      <c r="E25" s="7" t="s">
        <v>42</v>
      </c>
      <c r="F25" s="7" t="s">
        <v>75</v>
      </c>
      <c r="G25" s="3" t="s">
        <v>76</v>
      </c>
      <c r="H25" s="8"/>
    </row>
    <row r="26" ht="15.75" customHeight="1">
      <c r="A26" s="9" t="s">
        <v>77</v>
      </c>
      <c r="B26" s="4">
        <v>43914.0</v>
      </c>
      <c r="C26" s="3"/>
      <c r="D26" s="6"/>
      <c r="E26" s="7" t="s">
        <v>42</v>
      </c>
      <c r="F26" s="7" t="s">
        <v>51</v>
      </c>
      <c r="G26" s="3" t="s">
        <v>78</v>
      </c>
      <c r="H26" s="8"/>
    </row>
    <row r="27" ht="15.75" customHeight="1">
      <c r="A27" s="9" t="s">
        <v>79</v>
      </c>
      <c r="B27" s="4">
        <v>44056.0</v>
      </c>
      <c r="C27" s="3"/>
      <c r="D27" s="6" t="s">
        <v>54</v>
      </c>
      <c r="E27" s="7" t="s">
        <v>42</v>
      </c>
      <c r="F27" s="7" t="s">
        <v>55</v>
      </c>
      <c r="G27" s="3" t="s">
        <v>80</v>
      </c>
      <c r="H27" s="8"/>
    </row>
    <row r="28" ht="15.75" customHeight="1">
      <c r="A28" s="3" t="s">
        <v>81</v>
      </c>
      <c r="B28" s="4">
        <v>44096.0</v>
      </c>
      <c r="C28" s="3"/>
      <c r="D28" s="6"/>
      <c r="E28" s="7" t="s">
        <v>42</v>
      </c>
      <c r="F28" s="7" t="s">
        <v>75</v>
      </c>
      <c r="G28" s="3" t="s">
        <v>82</v>
      </c>
      <c r="H28" s="8"/>
    </row>
    <row r="29" ht="15.75" customHeight="1">
      <c r="A29" s="9" t="s">
        <v>83</v>
      </c>
      <c r="B29" s="4">
        <v>44117.0</v>
      </c>
      <c r="C29" s="3"/>
      <c r="D29" s="6" t="s">
        <v>84</v>
      </c>
      <c r="E29" s="7" t="s">
        <v>38</v>
      </c>
      <c r="F29" s="7" t="s">
        <v>39</v>
      </c>
      <c r="G29" s="3" t="s">
        <v>85</v>
      </c>
      <c r="H29" s="8"/>
    </row>
    <row r="30" ht="15.75" customHeight="1">
      <c r="A30" s="9" t="s">
        <v>86</v>
      </c>
      <c r="B30" s="4">
        <v>44252.0</v>
      </c>
      <c r="C30" s="3"/>
      <c r="D30" s="6"/>
      <c r="E30" s="7" t="s">
        <v>42</v>
      </c>
      <c r="F30" s="7" t="s">
        <v>75</v>
      </c>
      <c r="G30" s="3" t="s">
        <v>87</v>
      </c>
      <c r="H30" s="8"/>
    </row>
    <row r="31" ht="15.75" customHeight="1">
      <c r="A31" s="9" t="s">
        <v>88</v>
      </c>
      <c r="B31" s="10">
        <v>44258.0</v>
      </c>
      <c r="C31" s="3"/>
      <c r="D31" s="6"/>
      <c r="E31" s="7" t="s">
        <v>42</v>
      </c>
      <c r="F31" s="7" t="s">
        <v>75</v>
      </c>
      <c r="G31" s="3" t="s">
        <v>89</v>
      </c>
      <c r="H31" s="8"/>
    </row>
    <row r="32" ht="15.75" customHeight="1">
      <c r="A32" s="9" t="s">
        <v>90</v>
      </c>
      <c r="B32" s="4">
        <v>44434.0</v>
      </c>
      <c r="C32" s="3"/>
      <c r="D32" s="6"/>
      <c r="E32" s="7" t="s">
        <v>42</v>
      </c>
      <c r="F32" s="7" t="s">
        <v>43</v>
      </c>
      <c r="G32" s="3" t="s">
        <v>91</v>
      </c>
      <c r="H32" s="8"/>
    </row>
    <row r="33" ht="15.75" customHeight="1">
      <c r="A33" s="9" t="s">
        <v>92</v>
      </c>
      <c r="B33" s="10">
        <v>44531.0</v>
      </c>
      <c r="C33" s="3"/>
      <c r="D33" s="6"/>
      <c r="E33" s="7" t="s">
        <v>42</v>
      </c>
      <c r="F33" s="7" t="s">
        <v>55</v>
      </c>
      <c r="G33" s="3" t="s">
        <v>93</v>
      </c>
      <c r="H33" s="8"/>
    </row>
    <row r="34" ht="15.75" customHeight="1">
      <c r="A34" s="9" t="s">
        <v>94</v>
      </c>
      <c r="B34" s="4">
        <v>44541.0</v>
      </c>
      <c r="C34" s="3"/>
      <c r="D34" s="6"/>
      <c r="E34" s="7" t="s">
        <v>42</v>
      </c>
      <c r="F34" s="7" t="s">
        <v>75</v>
      </c>
      <c r="G34" s="3" t="s">
        <v>95</v>
      </c>
      <c r="H34" s="8"/>
    </row>
    <row r="35" ht="15.75" customHeight="1">
      <c r="A35" s="9" t="s">
        <v>96</v>
      </c>
      <c r="B35" s="10">
        <v>44601.0</v>
      </c>
      <c r="C35" s="3"/>
      <c r="D35" s="6"/>
      <c r="E35" s="7" t="s">
        <v>42</v>
      </c>
      <c r="F35" s="7" t="s">
        <v>55</v>
      </c>
      <c r="G35" s="3" t="s">
        <v>97</v>
      </c>
      <c r="H35" s="8"/>
    </row>
    <row r="36" ht="15.75" customHeight="1">
      <c r="A36" s="9" t="s">
        <v>98</v>
      </c>
      <c r="B36" s="4">
        <v>44602.0</v>
      </c>
      <c r="C36" s="3"/>
      <c r="D36" s="6" t="s">
        <v>99</v>
      </c>
      <c r="E36" s="7" t="s">
        <v>42</v>
      </c>
      <c r="F36" s="7" t="s">
        <v>55</v>
      </c>
      <c r="G36" s="3" t="s">
        <v>100</v>
      </c>
      <c r="H36" s="8"/>
    </row>
    <row r="37" ht="15.75" customHeight="1">
      <c r="A37" s="9" t="s">
        <v>101</v>
      </c>
      <c r="B37" s="4">
        <v>44617.0</v>
      </c>
      <c r="C37" s="3"/>
      <c r="D37" s="6"/>
      <c r="E37" s="7" t="s">
        <v>42</v>
      </c>
      <c r="F37" s="7" t="s">
        <v>55</v>
      </c>
      <c r="G37" s="3" t="s">
        <v>102</v>
      </c>
      <c r="H37" s="8"/>
    </row>
    <row r="38" ht="15.75" customHeight="1">
      <c r="A38" s="9" t="s">
        <v>103</v>
      </c>
      <c r="B38" s="10">
        <v>44933.0</v>
      </c>
      <c r="C38" s="3"/>
      <c r="D38" s="6" t="s">
        <v>104</v>
      </c>
      <c r="E38" s="7" t="s">
        <v>38</v>
      </c>
      <c r="F38" s="7" t="s">
        <v>39</v>
      </c>
      <c r="G38" s="3" t="s">
        <v>105</v>
      </c>
      <c r="H38" s="8"/>
    </row>
    <row r="39" ht="15.75" customHeight="1">
      <c r="A39" s="9" t="s">
        <v>106</v>
      </c>
      <c r="B39" s="10">
        <v>44964.0</v>
      </c>
      <c r="C39" s="3"/>
      <c r="D39" s="6"/>
      <c r="E39" s="7" t="s">
        <v>42</v>
      </c>
      <c r="F39" s="7" t="s">
        <v>43</v>
      </c>
      <c r="G39" s="3" t="s">
        <v>107</v>
      </c>
      <c r="H39" s="8"/>
    </row>
    <row r="40" ht="15.75" customHeight="1">
      <c r="A40" s="9" t="s">
        <v>108</v>
      </c>
      <c r="B40" s="4">
        <v>44978.0</v>
      </c>
      <c r="C40" s="3"/>
      <c r="D40" s="6" t="s">
        <v>104</v>
      </c>
      <c r="E40" s="7" t="s">
        <v>38</v>
      </c>
      <c r="F40" s="7" t="s">
        <v>39</v>
      </c>
      <c r="G40" s="3" t="s">
        <v>109</v>
      </c>
      <c r="H40" s="8"/>
    </row>
    <row r="41" ht="15.75" customHeight="1">
      <c r="A41" s="9" t="s">
        <v>110</v>
      </c>
      <c r="B41" s="4">
        <v>45092.0</v>
      </c>
      <c r="C41" s="3"/>
      <c r="D41" s="6" t="s">
        <v>104</v>
      </c>
      <c r="E41" s="7" t="s">
        <v>38</v>
      </c>
      <c r="F41" s="7" t="s">
        <v>39</v>
      </c>
      <c r="G41" s="3" t="s">
        <v>111</v>
      </c>
      <c r="H41" s="8"/>
    </row>
    <row r="42" ht="15.75" customHeight="1">
      <c r="A42" s="9" t="s">
        <v>112</v>
      </c>
      <c r="B42" s="10">
        <v>45269.0</v>
      </c>
      <c r="C42" s="3"/>
      <c r="D42" s="6" t="s">
        <v>113</v>
      </c>
      <c r="E42" s="7" t="s">
        <v>23</v>
      </c>
      <c r="F42" s="7" t="s">
        <v>24</v>
      </c>
      <c r="G42" s="3" t="s">
        <v>114</v>
      </c>
      <c r="H42" s="8"/>
    </row>
    <row r="43" ht="15.75" customHeight="1">
      <c r="A43" s="3" t="s">
        <v>115</v>
      </c>
      <c r="B43" s="4">
        <v>45319.0</v>
      </c>
      <c r="C43" s="3"/>
      <c r="D43" s="6"/>
      <c r="E43" s="7" t="s">
        <v>23</v>
      </c>
      <c r="F43" s="7" t="s">
        <v>24</v>
      </c>
      <c r="G43" s="3" t="s">
        <v>116</v>
      </c>
      <c r="H43" s="8"/>
    </row>
    <row r="44" ht="15.75" customHeight="1">
      <c r="A44" s="9" t="s">
        <v>117</v>
      </c>
      <c r="B44" s="4">
        <v>45322.0</v>
      </c>
      <c r="C44" s="3"/>
      <c r="D44" s="6"/>
      <c r="E44" s="7" t="s">
        <v>23</v>
      </c>
      <c r="F44" s="7" t="s">
        <v>51</v>
      </c>
      <c r="G44" s="3" t="s">
        <v>118</v>
      </c>
      <c r="H44" s="8"/>
    </row>
    <row r="45" ht="15.75" customHeight="1">
      <c r="A45" s="9" t="s">
        <v>119</v>
      </c>
      <c r="B45" s="4">
        <v>45456.0</v>
      </c>
      <c r="C45" s="3"/>
      <c r="D45" s="6" t="s">
        <v>120</v>
      </c>
      <c r="E45" s="7" t="s">
        <v>9</v>
      </c>
      <c r="F45" s="7" t="s">
        <v>10</v>
      </c>
      <c r="G45" s="3" t="s">
        <v>121</v>
      </c>
      <c r="H45" s="8"/>
    </row>
    <row r="46" ht="15.75" customHeight="1">
      <c r="A46" s="9" t="s">
        <v>122</v>
      </c>
      <c r="B46" s="4">
        <v>45518.0</v>
      </c>
      <c r="C46" s="3"/>
      <c r="D46" s="6"/>
      <c r="E46" s="7" t="s">
        <v>9</v>
      </c>
      <c r="F46" s="7" t="s">
        <v>10</v>
      </c>
      <c r="G46" s="3" t="s">
        <v>123</v>
      </c>
      <c r="H46" s="8"/>
    </row>
    <row r="47" ht="15.75" customHeight="1">
      <c r="A47" s="9" t="s">
        <v>124</v>
      </c>
      <c r="B47" s="4">
        <v>45549.0</v>
      </c>
      <c r="C47" s="3"/>
      <c r="D47" s="6" t="s">
        <v>125</v>
      </c>
      <c r="E47" s="7" t="s">
        <v>38</v>
      </c>
      <c r="F47" s="7" t="s">
        <v>39</v>
      </c>
      <c r="G47" s="3" t="s">
        <v>126</v>
      </c>
      <c r="H47" s="8"/>
    </row>
    <row r="48" ht="15.75" customHeight="1">
      <c r="A48" s="9" t="s">
        <v>127</v>
      </c>
      <c r="B48" s="4">
        <v>45554.0</v>
      </c>
      <c r="C48" s="3"/>
      <c r="D48" s="6" t="s">
        <v>48</v>
      </c>
      <c r="E48" s="7" t="s">
        <v>42</v>
      </c>
      <c r="F48" s="7" t="s">
        <v>43</v>
      </c>
      <c r="G48" s="3" t="s">
        <v>128</v>
      </c>
      <c r="H48" s="8"/>
    </row>
    <row r="49" ht="15.75" customHeight="1">
      <c r="A49" s="9" t="s">
        <v>129</v>
      </c>
      <c r="B49" s="4">
        <v>45594.0</v>
      </c>
      <c r="C49" s="3"/>
      <c r="D49" s="6" t="s">
        <v>130</v>
      </c>
      <c r="E49" s="7" t="s">
        <v>42</v>
      </c>
      <c r="F49" s="7" t="s">
        <v>55</v>
      </c>
      <c r="G49" s="3" t="s">
        <v>131</v>
      </c>
      <c r="H49" s="8"/>
    </row>
    <row r="50" ht="15.75" customHeight="1">
      <c r="A50" s="9" t="s">
        <v>132</v>
      </c>
      <c r="B50" s="4">
        <v>45704.0</v>
      </c>
      <c r="C50" s="3"/>
      <c r="D50" s="6"/>
      <c r="E50" s="7" t="s">
        <v>38</v>
      </c>
      <c r="F50" s="7" t="s">
        <v>39</v>
      </c>
      <c r="G50" s="3" t="s">
        <v>133</v>
      </c>
      <c r="H50" s="8"/>
    </row>
    <row r="51" ht="15.75" customHeight="1">
      <c r="A51" s="9" t="s">
        <v>134</v>
      </c>
      <c r="B51" s="4">
        <v>45714.0</v>
      </c>
      <c r="C51" s="3"/>
      <c r="D51" s="6" t="s">
        <v>135</v>
      </c>
      <c r="E51" s="7" t="s">
        <v>23</v>
      </c>
      <c r="F51" s="7" t="s">
        <v>24</v>
      </c>
      <c r="G51" s="3" t="s">
        <v>136</v>
      </c>
      <c r="H51" s="8"/>
    </row>
    <row r="52" ht="15.75" customHeight="1">
      <c r="A52" s="3" t="s">
        <v>137</v>
      </c>
      <c r="B52" s="4">
        <v>45716.0</v>
      </c>
      <c r="C52" s="3"/>
      <c r="D52" s="6"/>
      <c r="E52" s="7" t="s">
        <v>9</v>
      </c>
      <c r="F52" s="7" t="s">
        <v>55</v>
      </c>
      <c r="G52" s="3" t="s">
        <v>138</v>
      </c>
      <c r="H52" s="8"/>
    </row>
  </sheetData>
  <dataValidations>
    <dataValidation type="list" allowBlank="1" sqref="D2:D52">
      <formula1>Sites!$A$2:$A$19</formula1>
    </dataValidation>
    <dataValidation type="list" allowBlank="1" sqref="E2">
      <formula1>Associations!$A$2:$A12</formula1>
    </dataValidation>
    <dataValidation type="list" allowBlank="1" sqref="G3:G52">
      <formula1>Sources!$A$2:$A63</formula1>
    </dataValidation>
    <dataValidation type="list" allowBlank="1" sqref="G2">
      <formula1>Sources!$A$2:$A52</formula1>
    </dataValidation>
    <dataValidation type="list" allowBlank="1" sqref="E3:E52">
      <formula1>Associations!$A$2:$A21</formula1>
    </dataValidation>
  </dataValidation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0"/>
    <col customWidth="1" min="2" max="2" width="15.29"/>
    <col customWidth="1" min="3" max="4" width="10.71"/>
    <col customWidth="1" min="5" max="6" width="14.43"/>
  </cols>
  <sheetData>
    <row r="1" ht="12.75" customHeight="1">
      <c r="A1" s="2" t="s">
        <v>139</v>
      </c>
      <c r="B1" s="2" t="s">
        <v>0</v>
      </c>
      <c r="C1" s="2" t="s">
        <v>140</v>
      </c>
      <c r="D1" s="15" t="s">
        <v>141</v>
      </c>
    </row>
    <row r="2" ht="12.75" customHeight="1">
      <c r="A2" s="16" t="s">
        <v>9</v>
      </c>
      <c r="B2" s="17" t="s">
        <v>142</v>
      </c>
      <c r="C2" s="17" t="s">
        <v>143</v>
      </c>
    </row>
    <row r="3" ht="12.75" customHeight="1">
      <c r="A3" s="16" t="s">
        <v>23</v>
      </c>
      <c r="B3" s="17" t="s">
        <v>144</v>
      </c>
      <c r="C3" s="17" t="s">
        <v>143</v>
      </c>
    </row>
    <row r="4" ht="12.75" customHeight="1">
      <c r="A4" s="16" t="s">
        <v>38</v>
      </c>
      <c r="B4" s="17" t="s">
        <v>145</v>
      </c>
      <c r="C4" s="17" t="s">
        <v>143</v>
      </c>
    </row>
    <row r="5" ht="12.75" customHeight="1">
      <c r="A5" s="16" t="s">
        <v>42</v>
      </c>
      <c r="B5" s="17" t="s">
        <v>146</v>
      </c>
      <c r="C5" s="17" t="s">
        <v>143</v>
      </c>
    </row>
    <row r="6" ht="12.75" customHeight="1">
      <c r="A6" s="16" t="s">
        <v>10</v>
      </c>
      <c r="B6" s="17" t="s">
        <v>147</v>
      </c>
      <c r="C6" s="17" t="s">
        <v>148</v>
      </c>
    </row>
    <row r="7" ht="12.75" customHeight="1">
      <c r="A7" s="16" t="s">
        <v>24</v>
      </c>
      <c r="B7" s="17" t="s">
        <v>149</v>
      </c>
      <c r="C7" s="17" t="s">
        <v>148</v>
      </c>
    </row>
    <row r="8" ht="12.75" customHeight="1">
      <c r="A8" s="16" t="s">
        <v>39</v>
      </c>
      <c r="B8" s="17" t="s">
        <v>150</v>
      </c>
      <c r="C8" s="17" t="s">
        <v>148</v>
      </c>
    </row>
    <row r="9" ht="12.75" customHeight="1">
      <c r="A9" s="16" t="s">
        <v>43</v>
      </c>
      <c r="B9" s="17" t="s">
        <v>151</v>
      </c>
      <c r="C9" s="17" t="s">
        <v>148</v>
      </c>
    </row>
    <row r="10" ht="12.75" customHeight="1">
      <c r="A10" s="16" t="s">
        <v>51</v>
      </c>
      <c r="B10" s="17" t="s">
        <v>152</v>
      </c>
      <c r="C10" s="17" t="s">
        <v>148</v>
      </c>
    </row>
    <row r="11" ht="12.75" customHeight="1">
      <c r="A11" s="16" t="s">
        <v>55</v>
      </c>
      <c r="B11" s="17" t="s">
        <v>153</v>
      </c>
      <c r="C11" s="17" t="s">
        <v>148</v>
      </c>
    </row>
    <row r="12" ht="12.75" customHeight="1">
      <c r="A12" s="16" t="s">
        <v>75</v>
      </c>
      <c r="B12" s="3" t="s">
        <v>154</v>
      </c>
      <c r="C12" s="17" t="s">
        <v>148</v>
      </c>
      <c r="D12" s="17"/>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43"/>
    <col customWidth="1" min="2" max="2" width="31.86"/>
    <col customWidth="1" min="3" max="3" width="14.43"/>
    <col customWidth="1" min="4" max="4" width="67.14"/>
    <col customWidth="1" min="5" max="6" width="14.43"/>
  </cols>
  <sheetData>
    <row r="1" ht="15.75" customHeight="1">
      <c r="A1" s="18" t="s">
        <v>139</v>
      </c>
      <c r="B1" s="18" t="s">
        <v>155</v>
      </c>
      <c r="C1" s="18" t="s">
        <v>156</v>
      </c>
      <c r="D1" s="18" t="s">
        <v>0</v>
      </c>
      <c r="E1" s="18" t="s">
        <v>157</v>
      </c>
      <c r="F1" s="18" t="s">
        <v>158</v>
      </c>
      <c r="G1" s="18" t="s">
        <v>159</v>
      </c>
      <c r="H1" s="18" t="s">
        <v>160</v>
      </c>
      <c r="I1" s="18" t="s">
        <v>161</v>
      </c>
    </row>
    <row r="2" ht="15.75" customHeight="1">
      <c r="A2" s="19" t="s">
        <v>11</v>
      </c>
      <c r="B2" s="20" t="s">
        <v>162</v>
      </c>
      <c r="C2" s="21"/>
      <c r="D2" s="20" t="s">
        <v>162</v>
      </c>
      <c r="E2" s="21"/>
      <c r="F2" s="21"/>
      <c r="G2" s="21"/>
      <c r="H2" s="21"/>
      <c r="I2" s="19" t="s">
        <v>163</v>
      </c>
    </row>
    <row r="3" ht="15.75" customHeight="1">
      <c r="A3" s="19" t="s">
        <v>14</v>
      </c>
      <c r="B3" s="20" t="s">
        <v>164</v>
      </c>
      <c r="C3" s="21"/>
      <c r="D3" s="20" t="s">
        <v>164</v>
      </c>
      <c r="E3" s="22" t="s">
        <v>165</v>
      </c>
      <c r="F3" s="21"/>
      <c r="G3" s="21"/>
      <c r="H3" s="21"/>
      <c r="I3" s="19" t="s">
        <v>166</v>
      </c>
    </row>
    <row r="4" ht="15.75" customHeight="1">
      <c r="A4" s="19" t="s">
        <v>17</v>
      </c>
      <c r="B4" s="20" t="s">
        <v>167</v>
      </c>
      <c r="C4" s="21"/>
      <c r="D4" s="20" t="s">
        <v>167</v>
      </c>
      <c r="E4" s="22" t="s">
        <v>168</v>
      </c>
      <c r="F4" s="22"/>
      <c r="G4" s="21"/>
      <c r="H4" s="21"/>
      <c r="I4" s="19" t="s">
        <v>169</v>
      </c>
    </row>
    <row r="5" ht="15.75" customHeight="1">
      <c r="A5" s="19" t="s">
        <v>20</v>
      </c>
      <c r="B5" s="20" t="s">
        <v>170</v>
      </c>
      <c r="C5" s="21"/>
      <c r="D5" s="20" t="s">
        <v>170</v>
      </c>
      <c r="E5" s="21"/>
      <c r="F5" s="21"/>
      <c r="G5" s="21"/>
      <c r="H5" s="21"/>
      <c r="I5" s="19" t="s">
        <v>171</v>
      </c>
    </row>
    <row r="6" ht="15.75" customHeight="1">
      <c r="A6" s="19" t="s">
        <v>25</v>
      </c>
      <c r="B6" s="20" t="s">
        <v>172</v>
      </c>
      <c r="C6" s="21"/>
      <c r="D6" s="20" t="s">
        <v>172</v>
      </c>
      <c r="E6" s="22" t="s">
        <v>173</v>
      </c>
      <c r="F6" s="22" t="s">
        <v>174</v>
      </c>
      <c r="G6" s="22" t="s">
        <v>175</v>
      </c>
      <c r="H6" s="22" t="s">
        <v>176</v>
      </c>
      <c r="I6" s="19" t="s">
        <v>177</v>
      </c>
    </row>
    <row r="7" ht="15.75" customHeight="1">
      <c r="A7" s="19" t="s">
        <v>28</v>
      </c>
      <c r="B7" s="20" t="s">
        <v>178</v>
      </c>
      <c r="C7" s="21"/>
      <c r="D7" s="20" t="s">
        <v>178</v>
      </c>
      <c r="E7" s="22" t="s">
        <v>179</v>
      </c>
      <c r="F7" s="21"/>
      <c r="G7" s="21"/>
      <c r="H7" s="21"/>
      <c r="I7" s="19" t="s">
        <v>171</v>
      </c>
    </row>
    <row r="8" ht="15.75" customHeight="1">
      <c r="A8" s="19" t="s">
        <v>31</v>
      </c>
      <c r="B8" s="20" t="s">
        <v>180</v>
      </c>
      <c r="C8" s="21"/>
      <c r="D8" s="20" t="s">
        <v>181</v>
      </c>
      <c r="E8" s="22" t="s">
        <v>182</v>
      </c>
      <c r="F8" s="22" t="s">
        <v>183</v>
      </c>
      <c r="G8" s="22" t="s">
        <v>184</v>
      </c>
      <c r="H8" s="21"/>
      <c r="I8" s="19" t="s">
        <v>171</v>
      </c>
    </row>
    <row r="9" ht="15.75" customHeight="1">
      <c r="A9" s="19" t="s">
        <v>33</v>
      </c>
      <c r="B9" s="20" t="s">
        <v>185</v>
      </c>
      <c r="C9" s="21"/>
      <c r="D9" s="20" t="s">
        <v>185</v>
      </c>
      <c r="E9" s="22" t="s">
        <v>186</v>
      </c>
      <c r="F9" s="22" t="s">
        <v>187</v>
      </c>
      <c r="G9" s="21"/>
      <c r="H9" s="21"/>
    </row>
    <row r="10" ht="15.75" customHeight="1">
      <c r="A10" s="19" t="s">
        <v>36</v>
      </c>
      <c r="B10" s="20" t="s">
        <v>188</v>
      </c>
      <c r="C10" s="21"/>
      <c r="D10" s="20" t="s">
        <v>188</v>
      </c>
      <c r="E10" s="22" t="s">
        <v>189</v>
      </c>
      <c r="F10" s="22" t="s">
        <v>190</v>
      </c>
      <c r="G10" s="22" t="s">
        <v>191</v>
      </c>
      <c r="H10" s="21"/>
    </row>
    <row r="11" ht="15.75" customHeight="1">
      <c r="A11" s="19" t="s">
        <v>40</v>
      </c>
      <c r="B11" s="20" t="s">
        <v>192</v>
      </c>
      <c r="C11" s="21"/>
      <c r="D11" s="20" t="s">
        <v>192</v>
      </c>
      <c r="E11" s="22" t="s">
        <v>193</v>
      </c>
      <c r="F11" s="21"/>
      <c r="G11" s="21"/>
      <c r="H11" s="21"/>
    </row>
    <row r="12" ht="15.75" customHeight="1">
      <c r="A12" s="19" t="s">
        <v>44</v>
      </c>
      <c r="B12" s="20" t="s">
        <v>194</v>
      </c>
      <c r="C12" s="21"/>
      <c r="D12" s="20" t="s">
        <v>194</v>
      </c>
      <c r="E12" s="21"/>
      <c r="F12" s="21"/>
      <c r="G12" s="21"/>
      <c r="H12" s="21"/>
    </row>
    <row r="13" ht="15.75" customHeight="1">
      <c r="A13" s="19" t="s">
        <v>46</v>
      </c>
      <c r="B13" s="20" t="s">
        <v>195</v>
      </c>
      <c r="C13" s="21"/>
      <c r="D13" s="20" t="s">
        <v>195</v>
      </c>
      <c r="E13" s="22" t="s">
        <v>196</v>
      </c>
      <c r="F13" s="21"/>
      <c r="G13" s="21"/>
      <c r="H13" s="21"/>
    </row>
    <row r="14" ht="15.75" customHeight="1">
      <c r="A14" s="19" t="s">
        <v>49</v>
      </c>
      <c r="B14" s="20" t="s">
        <v>197</v>
      </c>
      <c r="C14" s="21"/>
      <c r="D14" s="20" t="s">
        <v>197</v>
      </c>
      <c r="E14" s="21"/>
      <c r="F14" s="21"/>
      <c r="G14" s="21"/>
      <c r="H14" s="21"/>
    </row>
    <row r="15" ht="15.75" customHeight="1">
      <c r="A15" s="19" t="s">
        <v>52</v>
      </c>
      <c r="B15" s="20" t="s">
        <v>198</v>
      </c>
      <c r="C15" s="21"/>
      <c r="D15" s="20" t="s">
        <v>198</v>
      </c>
      <c r="E15" s="21"/>
      <c r="F15" s="21"/>
      <c r="G15" s="21"/>
      <c r="H15" s="21"/>
    </row>
    <row r="16" ht="15.75" customHeight="1">
      <c r="A16" s="19" t="s">
        <v>56</v>
      </c>
      <c r="B16" s="20" t="s">
        <v>199</v>
      </c>
      <c r="C16" s="21"/>
      <c r="D16" s="20" t="s">
        <v>199</v>
      </c>
      <c r="E16" s="21"/>
      <c r="F16" s="21"/>
      <c r="G16" s="21"/>
      <c r="H16" s="21"/>
    </row>
    <row r="17" ht="15.75" customHeight="1">
      <c r="A17" s="19" t="s">
        <v>58</v>
      </c>
      <c r="B17" s="20" t="s">
        <v>200</v>
      </c>
      <c r="C17" s="21"/>
      <c r="D17" s="20" t="s">
        <v>200</v>
      </c>
      <c r="E17" s="22" t="s">
        <v>201</v>
      </c>
      <c r="F17" s="21"/>
      <c r="G17" s="21"/>
      <c r="H17" s="21"/>
    </row>
    <row r="18" ht="15.75" customHeight="1">
      <c r="A18" s="19" t="s">
        <v>60</v>
      </c>
      <c r="B18" s="20" t="s">
        <v>202</v>
      </c>
      <c r="C18" s="21"/>
      <c r="D18" s="20" t="s">
        <v>202</v>
      </c>
      <c r="E18" s="22" t="s">
        <v>203</v>
      </c>
      <c r="F18" s="21"/>
      <c r="G18" s="21"/>
      <c r="H18" s="21"/>
    </row>
    <row r="19" ht="15.75" customHeight="1">
      <c r="A19" s="19" t="s">
        <v>63</v>
      </c>
      <c r="B19" s="20" t="s">
        <v>204</v>
      </c>
      <c r="C19" s="21"/>
      <c r="D19" s="20" t="s">
        <v>204</v>
      </c>
      <c r="E19" s="22" t="s">
        <v>205</v>
      </c>
      <c r="F19" s="21"/>
      <c r="G19" s="21"/>
      <c r="H19" s="21"/>
    </row>
    <row r="20" ht="15.75" customHeight="1">
      <c r="A20" s="19" t="s">
        <v>65</v>
      </c>
      <c r="B20" s="20" t="s">
        <v>206</v>
      </c>
      <c r="C20" s="21"/>
      <c r="D20" s="20" t="s">
        <v>206</v>
      </c>
      <c r="E20" s="21"/>
      <c r="F20" s="21"/>
      <c r="G20" s="21"/>
      <c r="H20" s="21"/>
    </row>
    <row r="21" ht="15.75" customHeight="1">
      <c r="A21" s="19" t="s">
        <v>67</v>
      </c>
      <c r="B21" s="20" t="s">
        <v>207</v>
      </c>
      <c r="C21" s="21"/>
      <c r="D21" s="20" t="s">
        <v>207</v>
      </c>
      <c r="E21" s="22" t="s">
        <v>208</v>
      </c>
      <c r="F21" s="21"/>
      <c r="G21" s="21"/>
      <c r="H21" s="21"/>
    </row>
    <row r="22" ht="15.75" customHeight="1">
      <c r="A22" s="19" t="s">
        <v>69</v>
      </c>
      <c r="B22" s="20" t="s">
        <v>209</v>
      </c>
      <c r="C22" s="21"/>
      <c r="D22" s="20" t="s">
        <v>209</v>
      </c>
      <c r="E22" s="21"/>
      <c r="F22" s="21"/>
      <c r="G22" s="21"/>
      <c r="H22" s="21"/>
    </row>
    <row r="23" ht="15.75" customHeight="1">
      <c r="A23" s="19" t="s">
        <v>71</v>
      </c>
      <c r="B23" s="20" t="s">
        <v>210</v>
      </c>
      <c r="C23" s="21"/>
      <c r="D23" s="20" t="s">
        <v>210</v>
      </c>
      <c r="E23" s="21"/>
      <c r="F23" s="21"/>
      <c r="G23" s="21"/>
      <c r="H23" s="21"/>
    </row>
    <row r="24" ht="15.75" customHeight="1">
      <c r="A24" s="19" t="s">
        <v>73</v>
      </c>
      <c r="B24" s="20" t="s">
        <v>211</v>
      </c>
      <c r="C24" s="21"/>
      <c r="D24" s="20" t="s">
        <v>211</v>
      </c>
      <c r="E24" s="21"/>
      <c r="F24" s="21"/>
      <c r="G24" s="21"/>
      <c r="H24" s="21"/>
    </row>
    <row r="25" ht="15.75" customHeight="1">
      <c r="A25" s="19" t="s">
        <v>76</v>
      </c>
      <c r="B25" s="20" t="s">
        <v>212</v>
      </c>
      <c r="C25" s="21"/>
      <c r="D25" s="20" t="s">
        <v>212</v>
      </c>
      <c r="E25" s="21"/>
      <c r="F25" s="21"/>
      <c r="G25" s="21"/>
      <c r="H25" s="21"/>
    </row>
    <row r="26" ht="15.75" customHeight="1">
      <c r="A26" s="19" t="s">
        <v>78</v>
      </c>
      <c r="B26" s="20" t="s">
        <v>213</v>
      </c>
      <c r="C26" s="21"/>
      <c r="D26" s="20" t="s">
        <v>213</v>
      </c>
      <c r="E26" s="21"/>
      <c r="F26" s="21"/>
      <c r="G26" s="21"/>
      <c r="H26" s="21"/>
    </row>
    <row r="27" ht="15.75" customHeight="1">
      <c r="A27" s="19" t="s">
        <v>80</v>
      </c>
      <c r="B27" s="20" t="s">
        <v>214</v>
      </c>
      <c r="C27" s="21"/>
      <c r="D27" s="20" t="s">
        <v>214</v>
      </c>
      <c r="E27" s="21"/>
      <c r="F27" s="21"/>
      <c r="G27" s="21"/>
      <c r="H27" s="21"/>
    </row>
    <row r="28" ht="15.75" customHeight="1">
      <c r="A28" s="19" t="s">
        <v>82</v>
      </c>
      <c r="B28" s="20" t="s">
        <v>215</v>
      </c>
      <c r="C28" s="21"/>
      <c r="D28" s="20" t="s">
        <v>215</v>
      </c>
      <c r="E28" s="21"/>
      <c r="F28" s="21"/>
      <c r="G28" s="21"/>
      <c r="H28" s="21"/>
    </row>
    <row r="29" ht="15.75" customHeight="1">
      <c r="A29" s="19" t="s">
        <v>85</v>
      </c>
      <c r="B29" s="20" t="s">
        <v>216</v>
      </c>
      <c r="C29" s="21"/>
      <c r="D29" s="20" t="s">
        <v>216</v>
      </c>
      <c r="E29" s="22" t="s">
        <v>217</v>
      </c>
      <c r="F29" s="21"/>
      <c r="G29" s="21"/>
      <c r="H29" s="21"/>
    </row>
    <row r="30" ht="15.75" customHeight="1">
      <c r="A30" s="19" t="s">
        <v>87</v>
      </c>
      <c r="B30" s="20" t="s">
        <v>218</v>
      </c>
      <c r="C30" s="21"/>
      <c r="D30" s="20" t="s">
        <v>218</v>
      </c>
      <c r="E30" s="21"/>
      <c r="F30" s="21"/>
      <c r="G30" s="21"/>
      <c r="H30" s="21"/>
    </row>
    <row r="31" ht="15.75" customHeight="1">
      <c r="A31" s="19" t="s">
        <v>89</v>
      </c>
      <c r="B31" s="20" t="s">
        <v>219</v>
      </c>
      <c r="C31" s="21"/>
      <c r="D31" s="20" t="s">
        <v>219</v>
      </c>
      <c r="E31" s="21"/>
      <c r="F31" s="21"/>
      <c r="G31" s="21"/>
      <c r="H31" s="21"/>
    </row>
    <row r="32" ht="15.75" customHeight="1">
      <c r="A32" s="19" t="s">
        <v>91</v>
      </c>
      <c r="B32" s="20" t="s">
        <v>220</v>
      </c>
      <c r="C32" s="21"/>
      <c r="D32" s="20" t="s">
        <v>220</v>
      </c>
      <c r="E32" s="21"/>
      <c r="F32" s="21"/>
      <c r="G32" s="21"/>
      <c r="H32" s="21"/>
    </row>
    <row r="33" ht="15.75" customHeight="1">
      <c r="A33" s="19" t="s">
        <v>93</v>
      </c>
      <c r="B33" s="20" t="s">
        <v>221</v>
      </c>
      <c r="C33" s="21"/>
      <c r="D33" s="20" t="s">
        <v>221</v>
      </c>
      <c r="E33" s="22" t="s">
        <v>222</v>
      </c>
      <c r="F33" s="21"/>
      <c r="G33" s="21"/>
      <c r="H33" s="21"/>
    </row>
    <row r="34" ht="15.75" customHeight="1">
      <c r="A34" s="19" t="s">
        <v>95</v>
      </c>
      <c r="B34" s="20" t="s">
        <v>223</v>
      </c>
      <c r="C34" s="21"/>
      <c r="D34" s="20" t="s">
        <v>223</v>
      </c>
      <c r="E34" s="22" t="s">
        <v>224</v>
      </c>
      <c r="F34" s="21"/>
      <c r="G34" s="21"/>
      <c r="H34" s="21"/>
    </row>
    <row r="35" ht="15.75" customHeight="1">
      <c r="A35" s="19" t="s">
        <v>97</v>
      </c>
      <c r="B35" s="20" t="s">
        <v>225</v>
      </c>
      <c r="C35" s="21"/>
      <c r="D35" s="20" t="s">
        <v>225</v>
      </c>
      <c r="E35" s="21"/>
      <c r="F35" s="21"/>
      <c r="G35" s="21"/>
      <c r="H35" s="21"/>
    </row>
    <row r="36" ht="15.75" customHeight="1">
      <c r="A36" s="19" t="s">
        <v>100</v>
      </c>
      <c r="B36" s="20" t="s">
        <v>226</v>
      </c>
      <c r="C36" s="21"/>
      <c r="D36" s="20" t="s">
        <v>226</v>
      </c>
      <c r="E36" s="21"/>
      <c r="F36" s="21"/>
      <c r="G36" s="21"/>
      <c r="H36" s="21"/>
    </row>
    <row r="37" ht="15.75" customHeight="1">
      <c r="A37" s="19" t="s">
        <v>102</v>
      </c>
      <c r="B37" s="20" t="s">
        <v>227</v>
      </c>
      <c r="C37" s="21"/>
      <c r="D37" s="20" t="s">
        <v>227</v>
      </c>
      <c r="E37" s="22" t="s">
        <v>228</v>
      </c>
      <c r="F37" s="21"/>
      <c r="G37" s="21"/>
      <c r="H37" s="21"/>
    </row>
    <row r="38" ht="15.75" customHeight="1">
      <c r="A38" s="19" t="s">
        <v>105</v>
      </c>
      <c r="B38" s="20" t="s">
        <v>229</v>
      </c>
      <c r="C38" s="21"/>
      <c r="D38" s="20" t="s">
        <v>229</v>
      </c>
      <c r="E38" s="22" t="s">
        <v>230</v>
      </c>
      <c r="F38" s="21"/>
      <c r="G38" s="21"/>
      <c r="H38" s="21"/>
    </row>
    <row r="39" ht="15.75" customHeight="1">
      <c r="A39" s="19" t="s">
        <v>107</v>
      </c>
      <c r="B39" s="20" t="s">
        <v>231</v>
      </c>
      <c r="C39" s="21"/>
      <c r="D39" s="20" t="s">
        <v>231</v>
      </c>
      <c r="E39" s="21"/>
      <c r="F39" s="21"/>
      <c r="G39" s="21"/>
      <c r="H39" s="21"/>
    </row>
    <row r="40" ht="15.75" customHeight="1">
      <c r="A40" s="19" t="s">
        <v>109</v>
      </c>
      <c r="B40" s="20" t="s">
        <v>232</v>
      </c>
      <c r="C40" s="21"/>
      <c r="D40" s="20" t="s">
        <v>232</v>
      </c>
      <c r="E40" s="22" t="s">
        <v>233</v>
      </c>
      <c r="F40" s="21"/>
      <c r="G40" s="21"/>
      <c r="H40" s="21"/>
    </row>
    <row r="41" ht="15.75" customHeight="1">
      <c r="A41" s="19" t="s">
        <v>111</v>
      </c>
      <c r="B41" s="20" t="s">
        <v>234</v>
      </c>
      <c r="C41" s="21"/>
      <c r="D41" s="20" t="s">
        <v>234</v>
      </c>
      <c r="E41" s="22" t="s">
        <v>235</v>
      </c>
      <c r="F41" s="21"/>
      <c r="G41" s="21"/>
      <c r="H41" s="21"/>
    </row>
    <row r="42" ht="15.75" customHeight="1">
      <c r="A42" s="19" t="s">
        <v>114</v>
      </c>
      <c r="B42" s="20" t="s">
        <v>236</v>
      </c>
      <c r="C42" s="21"/>
      <c r="D42" s="20" t="s">
        <v>236</v>
      </c>
      <c r="E42" s="22" t="s">
        <v>237</v>
      </c>
      <c r="F42" s="21"/>
      <c r="G42" s="21"/>
      <c r="H42" s="21"/>
    </row>
    <row r="43" ht="15.75" customHeight="1">
      <c r="A43" s="19" t="s">
        <v>116</v>
      </c>
      <c r="B43" s="20" t="s">
        <v>238</v>
      </c>
      <c r="C43" s="21"/>
      <c r="D43" s="20" t="s">
        <v>238</v>
      </c>
      <c r="E43" s="22" t="s">
        <v>239</v>
      </c>
      <c r="F43" s="22" t="s">
        <v>240</v>
      </c>
      <c r="G43" s="21"/>
      <c r="H43" s="21"/>
    </row>
    <row r="44" ht="15.75" customHeight="1">
      <c r="A44" s="19" t="s">
        <v>118</v>
      </c>
      <c r="B44" s="20" t="s">
        <v>241</v>
      </c>
      <c r="C44" s="21"/>
      <c r="D44" s="20" t="s">
        <v>241</v>
      </c>
      <c r="E44" s="22" t="s">
        <v>242</v>
      </c>
      <c r="F44" s="21"/>
      <c r="G44" s="21"/>
      <c r="H44" s="21"/>
    </row>
    <row r="45" ht="15.75" customHeight="1">
      <c r="A45" s="19" t="s">
        <v>121</v>
      </c>
      <c r="B45" s="20" t="s">
        <v>243</v>
      </c>
      <c r="C45" s="21"/>
      <c r="D45" s="20" t="s">
        <v>243</v>
      </c>
      <c r="E45" s="22" t="s">
        <v>244</v>
      </c>
      <c r="F45" s="22" t="s">
        <v>245</v>
      </c>
      <c r="G45" s="21"/>
      <c r="H45" s="21"/>
    </row>
    <row r="46" ht="15.75" customHeight="1">
      <c r="A46" s="19" t="s">
        <v>123</v>
      </c>
      <c r="B46" s="20" t="s">
        <v>246</v>
      </c>
      <c r="C46" s="21"/>
      <c r="D46" s="20" t="s">
        <v>246</v>
      </c>
      <c r="E46" s="21"/>
      <c r="F46" s="21"/>
      <c r="G46" s="21"/>
      <c r="H46" s="21"/>
    </row>
    <row r="47" ht="15.75" customHeight="1">
      <c r="A47" s="19" t="s">
        <v>126</v>
      </c>
      <c r="B47" s="20" t="s">
        <v>247</v>
      </c>
      <c r="C47" s="21"/>
      <c r="D47" s="20" t="s">
        <v>247</v>
      </c>
      <c r="E47" s="22" t="s">
        <v>248</v>
      </c>
      <c r="F47" s="21"/>
      <c r="G47" s="21"/>
      <c r="H47" s="21"/>
    </row>
    <row r="48" ht="15.75" customHeight="1">
      <c r="A48" s="19" t="s">
        <v>128</v>
      </c>
      <c r="B48" s="20" t="s">
        <v>249</v>
      </c>
      <c r="C48" s="21"/>
      <c r="D48" s="20" t="s">
        <v>249</v>
      </c>
      <c r="E48" s="21"/>
      <c r="F48" s="21"/>
      <c r="G48" s="21"/>
      <c r="H48" s="21"/>
    </row>
    <row r="49" ht="15.75" customHeight="1">
      <c r="A49" s="19" t="s">
        <v>131</v>
      </c>
      <c r="B49" s="20" t="s">
        <v>250</v>
      </c>
      <c r="C49" s="21"/>
      <c r="D49" s="20" t="s">
        <v>250</v>
      </c>
      <c r="E49" s="21"/>
      <c r="F49" s="21"/>
      <c r="G49" s="21"/>
      <c r="H49" s="21"/>
    </row>
    <row r="50" ht="15.75" customHeight="1">
      <c r="A50" s="19" t="s">
        <v>133</v>
      </c>
      <c r="B50" s="20" t="s">
        <v>251</v>
      </c>
      <c r="C50" s="21"/>
      <c r="D50" s="20" t="s">
        <v>251</v>
      </c>
      <c r="E50" s="21"/>
      <c r="F50" s="21"/>
      <c r="G50" s="21"/>
      <c r="H50" s="21"/>
    </row>
    <row r="51" ht="15.75" customHeight="1">
      <c r="A51" s="19" t="s">
        <v>136</v>
      </c>
      <c r="B51" s="20" t="s">
        <v>252</v>
      </c>
      <c r="C51" s="21"/>
      <c r="D51" s="20" t="s">
        <v>252</v>
      </c>
      <c r="E51" s="22" t="s">
        <v>253</v>
      </c>
      <c r="F51" s="21"/>
      <c r="G51" s="21"/>
      <c r="H51" s="21"/>
    </row>
    <row r="52" ht="15.75" customHeight="1">
      <c r="A52" s="19" t="s">
        <v>138</v>
      </c>
      <c r="B52" s="20" t="s">
        <v>254</v>
      </c>
      <c r="C52" s="21"/>
      <c r="D52" s="20" t="s">
        <v>254</v>
      </c>
      <c r="E52" s="22" t="s">
        <v>255</v>
      </c>
      <c r="F52" s="21"/>
      <c r="G52" s="21"/>
      <c r="H52" s="21"/>
    </row>
  </sheetData>
  <printOptions/>
  <pageMargins bottom="0.75" footer="0.0" header="0.0" left="0.7" right="0.7" top="0.75"/>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0"/>
    <col customWidth="1" min="2" max="6" width="14.43"/>
  </cols>
  <sheetData>
    <row r="1" ht="15.75" customHeight="1">
      <c r="A1" s="2" t="s">
        <v>155</v>
      </c>
      <c r="B1" s="23" t="s">
        <v>0</v>
      </c>
      <c r="C1" s="21"/>
      <c r="D1" s="2"/>
      <c r="E1" s="2"/>
      <c r="F1" s="2"/>
      <c r="G1" s="2"/>
      <c r="H1" s="2"/>
      <c r="I1" s="2"/>
      <c r="J1" s="2"/>
      <c r="K1" s="2"/>
      <c r="L1" s="2"/>
      <c r="M1" s="2"/>
      <c r="N1" s="2"/>
      <c r="O1" s="2"/>
      <c r="P1" s="2"/>
      <c r="Q1" s="2"/>
      <c r="R1" s="2"/>
      <c r="S1" s="2"/>
      <c r="T1" s="2"/>
      <c r="U1" s="2"/>
      <c r="V1" s="2"/>
    </row>
    <row r="2" ht="15.75" customHeight="1">
      <c r="A2" s="24" t="s">
        <v>147</v>
      </c>
      <c r="B2" s="24" t="s">
        <v>256</v>
      </c>
      <c r="C2" s="24"/>
    </row>
    <row r="3" ht="15.75" customHeight="1">
      <c r="A3" s="24" t="s">
        <v>149</v>
      </c>
      <c r="B3" s="24" t="s">
        <v>257</v>
      </c>
      <c r="C3" s="24"/>
    </row>
    <row r="4" ht="15.75" customHeight="1">
      <c r="A4" s="24" t="s">
        <v>150</v>
      </c>
      <c r="B4" s="24" t="s">
        <v>258</v>
      </c>
      <c r="C4" s="24"/>
    </row>
    <row r="5" ht="15.75" customHeight="1">
      <c r="A5" s="24" t="s">
        <v>151</v>
      </c>
      <c r="B5" s="24" t="s">
        <v>259</v>
      </c>
      <c r="C5" s="24"/>
    </row>
    <row r="6" ht="15.75" customHeight="1">
      <c r="A6" s="24" t="s">
        <v>152</v>
      </c>
      <c r="B6" s="24" t="s">
        <v>260</v>
      </c>
      <c r="C6" s="24"/>
    </row>
    <row r="7" ht="15.75" customHeight="1">
      <c r="A7" s="24" t="s">
        <v>153</v>
      </c>
      <c r="B7" s="24" t="s">
        <v>261</v>
      </c>
      <c r="C7" s="24"/>
    </row>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2.43"/>
    <col customWidth="1" min="2" max="6" width="14.43"/>
  </cols>
  <sheetData>
    <row r="1" ht="15.75" customHeight="1">
      <c r="A1" s="18" t="s">
        <v>3</v>
      </c>
      <c r="B1" s="18" t="s">
        <v>262</v>
      </c>
      <c r="C1" s="18"/>
      <c r="D1" s="18" t="s">
        <v>7</v>
      </c>
    </row>
    <row r="2" ht="15.75" customHeight="1">
      <c r="A2" s="21" t="s">
        <v>13</v>
      </c>
      <c r="B2" s="21">
        <v>15.431855421809</v>
      </c>
      <c r="C2" s="21">
        <v>-86.1444462063305</v>
      </c>
      <c r="D2" s="21"/>
    </row>
    <row r="3" ht="15.75" customHeight="1">
      <c r="A3" s="21" t="s">
        <v>16</v>
      </c>
      <c r="B3" s="21">
        <v>15.4746380958428</v>
      </c>
      <c r="C3" s="21">
        <v>-85.9307200829677</v>
      </c>
      <c r="D3" s="21"/>
    </row>
    <row r="4" ht="15.75" customHeight="1">
      <c r="A4" s="21" t="s">
        <v>19</v>
      </c>
      <c r="B4" s="21">
        <v>15.6203734716469</v>
      </c>
      <c r="C4" s="21">
        <v>-86.0273409453345</v>
      </c>
      <c r="D4" s="21"/>
    </row>
    <row r="5" ht="15.75" customHeight="1">
      <c r="A5" s="21" t="s">
        <v>22</v>
      </c>
      <c r="B5" s="21">
        <v>15.6187463966125</v>
      </c>
      <c r="C5" s="21">
        <v>-86.0308662024581</v>
      </c>
      <c r="D5" s="21"/>
    </row>
    <row r="6" ht="15.75" customHeight="1">
      <c r="A6" s="21" t="s">
        <v>27</v>
      </c>
      <c r="B6" s="21">
        <v>15.6145020481252</v>
      </c>
      <c r="C6" s="21">
        <v>-86.0388294893406</v>
      </c>
      <c r="D6" s="21"/>
    </row>
    <row r="7" ht="15.75" customHeight="1">
      <c r="A7" s="21" t="s">
        <v>30</v>
      </c>
      <c r="B7" s="21">
        <v>15.6155163290853</v>
      </c>
      <c r="C7" s="21">
        <v>-86.0358573232872</v>
      </c>
      <c r="D7" s="21"/>
    </row>
    <row r="8" ht="15.75" customHeight="1">
      <c r="A8" s="25" t="s">
        <v>35</v>
      </c>
      <c r="B8" s="21">
        <v>15.616243740627</v>
      </c>
      <c r="C8" s="21">
        <v>-86.0160545221007</v>
      </c>
      <c r="D8" s="21"/>
    </row>
    <row r="9" ht="15.75" customHeight="1">
      <c r="A9" s="21" t="s">
        <v>48</v>
      </c>
      <c r="B9" s="21">
        <v>15.7695859949707</v>
      </c>
      <c r="C9" s="21">
        <v>-86.7582244178694</v>
      </c>
      <c r="D9" s="21"/>
    </row>
    <row r="10" ht="15.75" customHeight="1">
      <c r="A10" s="21" t="s">
        <v>54</v>
      </c>
      <c r="B10" s="21">
        <v>14.1029939704914</v>
      </c>
      <c r="C10" s="21">
        <v>-87.1879263277424</v>
      </c>
      <c r="D10" s="21"/>
    </row>
    <row r="11" ht="15.75" customHeight="1">
      <c r="A11" s="26" t="s">
        <v>62</v>
      </c>
      <c r="B11" s="26">
        <v>15.6623481854638</v>
      </c>
      <c r="C11" s="26">
        <v>-86.0012684938828</v>
      </c>
      <c r="D11" s="21"/>
    </row>
    <row r="12" ht="15.75" customHeight="1">
      <c r="A12" s="26" t="s">
        <v>84</v>
      </c>
      <c r="B12" s="26">
        <v>15.6576233235246</v>
      </c>
      <c r="C12" s="26">
        <v>-85.997823975983</v>
      </c>
      <c r="D12" s="21"/>
    </row>
    <row r="13" ht="15.75" customHeight="1">
      <c r="A13" s="26" t="s">
        <v>99</v>
      </c>
      <c r="B13" s="26">
        <v>14.0728133991815</v>
      </c>
      <c r="C13" s="26">
        <v>-87.2009227545023</v>
      </c>
      <c r="D13" s="21"/>
    </row>
    <row r="14" ht="15.75" customHeight="1">
      <c r="A14" s="26" t="s">
        <v>104</v>
      </c>
      <c r="B14" s="26">
        <v>15.6155138823523</v>
      </c>
      <c r="C14" s="26">
        <v>-86.0380325062173</v>
      </c>
      <c r="D14" s="21"/>
    </row>
    <row r="15" ht="15.75" customHeight="1">
      <c r="A15" s="26" t="s">
        <v>113</v>
      </c>
      <c r="B15" s="26">
        <v>15.6577976179903</v>
      </c>
      <c r="C15" s="26">
        <v>-85.9958964441781</v>
      </c>
      <c r="D15" s="21"/>
    </row>
    <row r="16" ht="15.75" customHeight="1">
      <c r="A16" s="26" t="s">
        <v>120</v>
      </c>
      <c r="B16" s="26">
        <v>15.6557396966744</v>
      </c>
      <c r="C16" s="26">
        <v>-86.0097420134923</v>
      </c>
      <c r="D16" s="21"/>
    </row>
    <row r="17" ht="15.75" customHeight="1">
      <c r="A17" s="26" t="s">
        <v>125</v>
      </c>
      <c r="B17" s="26">
        <v>15.6556934983432</v>
      </c>
      <c r="C17" s="26">
        <v>-86.0053254159397</v>
      </c>
      <c r="D17" s="21"/>
    </row>
    <row r="18" ht="15.75" customHeight="1">
      <c r="A18" s="26" t="s">
        <v>130</v>
      </c>
      <c r="B18" s="26">
        <v>15.6644399421503</v>
      </c>
      <c r="C18" s="26">
        <v>-85.9859991349229</v>
      </c>
      <c r="D18" s="21"/>
    </row>
    <row r="19" ht="15.75" customHeight="1">
      <c r="A19" s="26" t="s">
        <v>135</v>
      </c>
      <c r="B19" s="26">
        <v>14.0963843362817</v>
      </c>
      <c r="C19" s="26">
        <v>-87.1832685402066</v>
      </c>
      <c r="D19" s="21"/>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86"/>
    <col customWidth="1" min="2" max="6" width="14.43"/>
  </cols>
  <sheetData>
    <row r="1" ht="15.75" customHeight="1">
      <c r="A1" s="2" t="s">
        <v>263</v>
      </c>
      <c r="B1" s="2" t="s">
        <v>264</v>
      </c>
      <c r="C1" s="2" t="s">
        <v>265</v>
      </c>
      <c r="D1" s="2" t="s">
        <v>266</v>
      </c>
      <c r="E1" s="2" t="s">
        <v>267</v>
      </c>
      <c r="F1" s="2" t="s">
        <v>268</v>
      </c>
      <c r="G1" s="2" t="s">
        <v>269</v>
      </c>
      <c r="H1" s="27" t="s">
        <v>270</v>
      </c>
      <c r="I1" s="2" t="s">
        <v>271</v>
      </c>
    </row>
    <row r="2" ht="15.75" customHeight="1">
      <c r="A2" s="20" t="str">
        <f>Events!A2</f>
        <v>The Honduran Government, led by President Porfirio Lobo Sosa, enacts a new General Mining Law, lifting a seven-year moratorium on new mining concessions. The General Mining Law is criticised by the Honduran National Coalition of Environmental Networks (CONROA) for failing to prohibit open pit mining, adequately protect community water sources, foster adequate consultation prior to concessions being granted, and for a lack of transparency regarding the financial and technical aspects of mining projects.</v>
      </c>
      <c r="B2" s="28" t="str">
        <f>TEXT(Events!B2, "MM/DD/YYYY")</f>
        <v>01/23/2013</v>
      </c>
      <c r="C2" s="5"/>
      <c r="D2" s="20" t="str">
        <f>Events!D2</f>
        <v/>
      </c>
      <c r="E2" s="21"/>
      <c r="F2" s="21"/>
      <c r="G2" s="29" t="str">
        <f>IF(ISBLANK(Events!E2), "", Events!E2)</f>
        <v>n1</v>
      </c>
      <c r="H2" s="29" t="str">
        <f>IF(ISBLANK(Events!F2), "", Events!F2)</f>
        <v>c1</v>
      </c>
      <c r="I2" s="20" t="str">
        <f>IF(ISBLANK(Events!G2), "", Events!G2)</f>
        <v>src1</v>
      </c>
    </row>
    <row r="3" ht="15.75" customHeight="1">
      <c r="A3" s="20" t="str">
        <f>Events!A3</f>
        <v>The Honduran government enacts Decree 252-2013, which reduces the extent of the protected area of the Montaña de Botaderos National Park - commonly referred to as the Carlos Escaleras Mejía National Park - by 217 hectares.</v>
      </c>
      <c r="B3" s="28" t="str">
        <f>TEXT(Events!B3, "MM/DD/YYYY")</f>
        <v>12/23/2013</v>
      </c>
      <c r="C3" s="5"/>
      <c r="D3" s="20" t="str">
        <f>Events!D3</f>
        <v>Montaña de Botaderos National Park</v>
      </c>
      <c r="E3" s="21">
        <v>15.431855421809</v>
      </c>
      <c r="F3" s="21">
        <v>-86.1444462063305</v>
      </c>
      <c r="G3" s="29" t="str">
        <f>IF(ISBLANK(Events!E3), "", Events!E3)</f>
        <v>n1</v>
      </c>
      <c r="H3" s="29" t="str">
        <f>IF(ISBLANK(Events!F3), "", Events!F3)</f>
        <v>c1</v>
      </c>
      <c r="I3" s="20" t="str">
        <f>IF(ISBLANK(Events!G3), "", Events!G3)</f>
        <v>src2</v>
      </c>
    </row>
    <row r="4" ht="15.75" customHeight="1">
      <c r="A4" s="20" t="str">
        <f>Events!A4</f>
        <v>The Honduran government grants Inversiones Los Pinares (then known as EMCO Mining Company) a ten-year license to exploit iron oxide deposits at two concessions within the Carlos Escaleras Mejía National Park. Both sites, known as ASP and ASP 2, fall within the pre-Decree 252-2013 protected areas of the national park.</v>
      </c>
      <c r="B4" s="28" t="str">
        <f>TEXT(Events!B4, "MM/DD/YYYY")</f>
        <v>01/28/2014</v>
      </c>
      <c r="C4" s="5"/>
      <c r="D4" s="20" t="str">
        <f>Events!D4</f>
        <v>ASP Mining Concession, Montaña de Botaderos National Park</v>
      </c>
      <c r="E4" s="21">
        <v>15.4746380958428</v>
      </c>
      <c r="F4" s="21">
        <v>-85.9307200829677</v>
      </c>
      <c r="G4" s="29" t="str">
        <f>IF(ISBLANK(Events!E4), "", Events!E4)</f>
        <v>n1</v>
      </c>
      <c r="H4" s="29" t="str">
        <f>IF(ISBLANK(Events!F4), "", Events!F4)</f>
        <v>c1</v>
      </c>
      <c r="I4" s="20" t="str">
        <f>IF(ISBLANK(Events!G4), "", Events!G4)</f>
        <v>src3</v>
      </c>
    </row>
    <row r="5" ht="15.75" customHeight="1">
      <c r="A5" s="20" t="str">
        <f>Events!A5</f>
        <v>Inversiones ECOTEK (part of EMCO Group) obtains a provisional licence to construct an iron pelletizing plant at a site in Tocoa in direct proximity to the river Guapinol. Construction is underway for an access road which will connect the planned mine site to the pelletizing plant.</v>
      </c>
      <c r="B5" s="28" t="str">
        <f>TEXT(Events!B5, "MM/DD/YYYY")</f>
        <v>02/01/2018</v>
      </c>
      <c r="C5" s="5"/>
      <c r="D5" s="20" t="str">
        <f>Events!D5</f>
        <v>ECOTEK Processing Plant, Tocoa</v>
      </c>
      <c r="E5" s="21">
        <v>15.6203734716469</v>
      </c>
      <c r="F5" s="21">
        <v>-86.0273409453345</v>
      </c>
      <c r="G5" s="29" t="str">
        <f>IF(ISBLANK(Events!E5), "", Events!E5)</f>
        <v>n1</v>
      </c>
      <c r="H5" s="29" t="str">
        <f>IF(ISBLANK(Events!F5), "", Events!F5)</f>
        <v>c1</v>
      </c>
      <c r="I5" s="20" t="str">
        <f>IF(ISBLANK(Events!G5), "", Events!G5)</f>
        <v>src4</v>
      </c>
    </row>
    <row r="6" ht="15.75" customHeight="1">
      <c r="A6" s="20" t="str">
        <f>Events!A6</f>
        <v>Residents of Guapinol begin sharing photos on social media showing the Guapinol river appearing chocolate brown and thick with muddy sediment. Locals attribute this to the construction of the access road to the mining concession, which appears to have caused heavy sediment to contaminate the water of the Guapinol and San Pedro Rivers.</v>
      </c>
      <c r="B6" s="28" t="str">
        <f>TEXT(Events!B6, "MM/DD/YYYY")</f>
        <v>04/26/2018</v>
      </c>
      <c r="C6" s="5"/>
      <c r="D6" s="20" t="str">
        <f>Events!D6</f>
        <v>Rio Guapinol, Guapinol</v>
      </c>
      <c r="E6" s="21">
        <v>15.6187463966125</v>
      </c>
      <c r="F6" s="21">
        <v>-86.0308662024581</v>
      </c>
      <c r="G6" s="29" t="str">
        <f>IF(ISBLANK(Events!E6), "", Events!E6)</f>
        <v>n2</v>
      </c>
      <c r="H6" s="29" t="str">
        <f>IF(ISBLANK(Events!F6), "", Events!F6)</f>
        <v>c2</v>
      </c>
      <c r="I6" s="20" t="str">
        <f>IF(ISBLANK(Events!G6), "", Events!G6)</f>
        <v>src5</v>
      </c>
    </row>
    <row r="7" ht="15.75" customHeight="1">
      <c r="A7" s="20" t="str">
        <f>Events!A7</f>
        <v>Residents organise an urgent community meeting to discuss the development of the mining project.</v>
      </c>
      <c r="B7" s="28" t="str">
        <f>TEXT(Events!B7, "MM/DD/YYYY")</f>
        <v>05/07/2018</v>
      </c>
      <c r="C7" s="5"/>
      <c r="D7" s="20" t="str">
        <f>Events!D7</f>
        <v>Centro Basico, Guapinol</v>
      </c>
      <c r="E7" s="21">
        <v>15.6145020481252</v>
      </c>
      <c r="F7" s="21">
        <v>-86.0388294893406</v>
      </c>
      <c r="G7" s="29" t="str">
        <f>IF(ISBLANK(Events!E7), "", Events!E7)</f>
        <v>n2</v>
      </c>
      <c r="H7" s="29" t="str">
        <f>IF(ISBLANK(Events!F7), "", Events!F7)</f>
        <v>c2</v>
      </c>
      <c r="I7" s="20" t="str">
        <f>IF(ISBLANK(Events!G7), "", Events!G7)</f>
        <v>src6</v>
      </c>
    </row>
    <row r="8" ht="15.75" customHeight="1">
      <c r="A8" s="20" t="str">
        <f>Events!A8</f>
        <v>Three days after the community meeting, residents organise a peaceful demonstration outside Caja Rural, Guapinol, the site of a meeting between Los Pinares Inversiones and the Chief Inspector of Drinking Water.</v>
      </c>
      <c r="B8" s="28" t="str">
        <f>TEXT(Events!B8, "MM/DD/YYYY")</f>
        <v>05/10/2018</v>
      </c>
      <c r="C8" s="5"/>
      <c r="D8" s="20" t="str">
        <f>Events!D8</f>
        <v>Caja Rural, Guapinol</v>
      </c>
      <c r="E8" s="21">
        <v>15.6155163290853</v>
      </c>
      <c r="F8" s="21">
        <v>-86.0358573232872</v>
      </c>
      <c r="G8" s="29" t="str">
        <f>IF(ISBLANK(Events!E8), "", Events!E8)</f>
        <v>n2</v>
      </c>
      <c r="H8" s="29" t="str">
        <f>IF(ISBLANK(Events!F8), "", Events!F8)</f>
        <v>c2</v>
      </c>
      <c r="I8" s="20" t="str">
        <f>IF(ISBLANK(Events!G8), "", Events!G8)</f>
        <v>src7</v>
      </c>
    </row>
    <row r="9" ht="15.75" customHeight="1">
      <c r="A9" s="20" t="str">
        <f>Events!A9</f>
        <v>Residents circulate further images of the contaminated river, as well as videos of contaminated tap water in homes in Guapinol.</v>
      </c>
      <c r="B9" s="28" t="str">
        <f>TEXT(Events!B9, "MM/DD/YYYY")</f>
        <v>07/30/2018</v>
      </c>
      <c r="C9" s="5"/>
      <c r="D9" s="20" t="str">
        <f>Events!D9</f>
        <v/>
      </c>
      <c r="E9" s="21"/>
      <c r="F9" s="21"/>
      <c r="G9" s="29" t="str">
        <f>IF(ISBLANK(Events!E9), "", Events!E9)</f>
        <v>n2</v>
      </c>
      <c r="H9" s="29" t="str">
        <f>IF(ISBLANK(Events!F9), "", Events!F9)</f>
        <v>c2</v>
      </c>
      <c r="I9" s="20" t="str">
        <f>IF(ISBLANK(Events!G9), "", Events!G9)</f>
        <v>src8</v>
      </c>
    </row>
    <row r="10" ht="15.75" customHeight="1">
      <c r="A10" s="20" t="str">
        <f>Events!A10</f>
        <v>Residents of the village establish a protest camp on the access road to the mine​, commonly known as the ‘Guapinol Encampment in Defence of Water and Life.’</v>
      </c>
      <c r="B10" s="28" t="str">
        <f>TEXT(Events!B10, "MM/DD/YYYY")</f>
        <v>08/01/2018</v>
      </c>
      <c r="C10" s="5"/>
      <c r="D10" s="20" t="str">
        <f>Events!D10</f>
        <v>Guapinol Encampment in Defence of Water and Life</v>
      </c>
      <c r="E10" s="21">
        <v>15.616243740627</v>
      </c>
      <c r="F10" s="21">
        <v>-86.0160545221007</v>
      </c>
      <c r="G10" s="29" t="str">
        <f>IF(ISBLANK(Events!E10), "", Events!E10)</f>
        <v>n2</v>
      </c>
      <c r="H10" s="29" t="str">
        <f>IF(ISBLANK(Events!F10), "", Events!F10)</f>
        <v>c2</v>
      </c>
      <c r="I10" s="20" t="str">
        <f>IF(ISBLANK(Events!G10), "", Events!G10)</f>
        <v>src9</v>
      </c>
    </row>
    <row r="11" ht="15.75" customHeight="1">
      <c r="A11" s="20" t="str">
        <f>Events!A11</f>
        <v>During a dispute between the residents of the camp and Inversiones Los Pinares staff and contracted security personnel, a security official shoots and wounds community member Rigoberto Bonilla Hernández. In response, the director of security is detained by protesters and handed to police. A vehicle and two containers belonging to Inversiones Los Pinares are allegedly set alight during the dispute.</v>
      </c>
      <c r="B11" s="28" t="str">
        <f>TEXT(Events!B11, "MM/DD/YYYY")</f>
        <v>09/07/2018</v>
      </c>
      <c r="C11" s="5"/>
      <c r="D11" s="20" t="str">
        <f>Events!D11</f>
        <v>Guapinol Encampment in Defence of Water and Life</v>
      </c>
      <c r="E11" s="21">
        <v>15.616243740627</v>
      </c>
      <c r="F11" s="21">
        <v>-86.0160545221007</v>
      </c>
      <c r="G11" s="29" t="str">
        <f>IF(ISBLANK(Events!E11), "", Events!E11)</f>
        <v>n3</v>
      </c>
      <c r="H11" s="29" t="str">
        <f>IF(ISBLANK(Events!F11), "", Events!F11)</f>
        <v>c3</v>
      </c>
      <c r="I11" s="20" t="str">
        <f>IF(ISBLANK(Events!G11), "", Events!G11)</f>
        <v>src10</v>
      </c>
    </row>
    <row r="12" ht="15.75" customHeight="1">
      <c r="A12" s="20" t="str">
        <f>Events!A12</f>
        <v>The Public Prosecutor’s office issues arrest warrants - approved by a National Jurisdiction Judge in San Pedro Sula - for the arrest of eighteen community members. This is considered extraordinary as sentencing courts at the National Jurisdiction are usually reserved for high impact criminal cases, with a particular focus on organized crime.</v>
      </c>
      <c r="B12" s="28" t="str">
        <f>TEXT(Events!B12, "MM/DD/YYYY")</f>
        <v>10/01/2018</v>
      </c>
      <c r="C12" s="5"/>
      <c r="D12" s="20" t="str">
        <f>Events!D12</f>
        <v/>
      </c>
      <c r="E12" s="21"/>
      <c r="F12" s="21"/>
      <c r="G12" s="29" t="str">
        <f>IF(ISBLANK(Events!E12), "", Events!E12)</f>
        <v>n4</v>
      </c>
      <c r="H12" s="29" t="str">
        <f>IF(ISBLANK(Events!F12), "", Events!F12)</f>
        <v>c4</v>
      </c>
      <c r="I12" s="20" t="str">
        <f>IF(ISBLANK(Events!G12), "", Events!G12)</f>
        <v>src11</v>
      </c>
    </row>
    <row r="13" ht="15.75" customHeight="1">
      <c r="A13" s="20" t="str">
        <f>Events!A13</f>
        <v>On the basis of a judicial eviction order at least 1,200 police and army personnel, including a specialist militarised police unit known as ‘TIGRE’, are deployed to evict the encampment. Witnesses report live rounds and tear gas being used, and protesters being beaten. The altercation results in the death of two military personnel and one community member, with over a dozen individuals wounded.</v>
      </c>
      <c r="B13" s="28" t="str">
        <f>TEXT(Events!B13, "MM/DD/YYYY")</f>
        <v>10/27/2018</v>
      </c>
      <c r="C13" s="5"/>
      <c r="D13" s="20" t="str">
        <f>Events!D13</f>
        <v>Guapinol Encampment in Defence of Water and Life</v>
      </c>
      <c r="E13" s="21">
        <v>15.616243740627</v>
      </c>
      <c r="F13" s="21">
        <v>-86.0160545221007</v>
      </c>
      <c r="G13" s="29" t="str">
        <f>IF(ISBLANK(Events!E13), "", Events!E13)</f>
        <v>n3</v>
      </c>
      <c r="H13" s="29" t="str">
        <f>IF(ISBLANK(Events!F13), "", Events!F13)</f>
        <v>c3</v>
      </c>
      <c r="I13" s="20" t="str">
        <f>IF(ISBLANK(Events!G13), "", Events!G13)</f>
        <v>src12</v>
      </c>
    </row>
    <row r="14" ht="15.75" customHeight="1">
      <c r="A14" s="20" t="str">
        <f>Events!A14</f>
        <v>Thirteen community members voluntarily appear before a court in La Ceiba, where they learn of a second arrest warrant accusing 31 community members of unjust deprivation of liberty, aggravated arson, theft, and unlawful association in relation to the events that took place 7 September 2018. They are subsequently held in pretrial detention in Tegucigalpa.</v>
      </c>
      <c r="B14" s="28" t="str">
        <f>TEXT(Events!B14, "MM/DD/YYYY")</f>
        <v>02/21/2019</v>
      </c>
      <c r="C14" s="5"/>
      <c r="D14" s="20" t="str">
        <f>Events!D14</f>
        <v>Edificio Judicial de La Ceiba, La Ceiba</v>
      </c>
      <c r="E14" s="21">
        <v>15.7695859949707</v>
      </c>
      <c r="F14" s="21">
        <v>-86.7582244178694</v>
      </c>
      <c r="G14" s="29" t="str">
        <f>IF(ISBLANK(Events!E14), "", Events!E14)</f>
        <v>n4</v>
      </c>
      <c r="H14" s="29" t="str">
        <f>IF(ISBLANK(Events!F14), "", Events!F14)</f>
        <v>c4</v>
      </c>
      <c r="I14" s="20" t="str">
        <f>IF(ISBLANK(Events!G14), "", Events!G14)</f>
        <v>src13</v>
      </c>
    </row>
    <row r="15" ht="15.75" customHeight="1">
      <c r="A15" s="20" t="str">
        <f>Events!A15</f>
        <v>Members of the CMDBCP, the San Alonso Rodríguez Foundation, and the Coalition Against Impunity, file a constitutional challenge against Decree 252-2013.</v>
      </c>
      <c r="B15" s="28" t="str">
        <f>TEXT(Events!B15, "MM/DD/YYYY")</f>
        <v>02/25/2019</v>
      </c>
      <c r="C15" s="5"/>
      <c r="D15" s="20" t="str">
        <f>Events!D15</f>
        <v/>
      </c>
      <c r="E15" s="21"/>
      <c r="F15" s="21"/>
      <c r="G15" s="29" t="str">
        <f>IF(ISBLANK(Events!E15), "", Events!E15)</f>
        <v>n2</v>
      </c>
      <c r="H15" s="29" t="str">
        <f>IF(ISBLANK(Events!F15), "", Events!F15)</f>
        <v>c5</v>
      </c>
      <c r="I15" s="20" t="str">
        <f>IF(ISBLANK(Events!G15), "", Events!G15)</f>
        <v>src14</v>
      </c>
    </row>
    <row r="16" ht="15.75" customHeight="1">
      <c r="A16" s="20" t="str">
        <f>Events!A16</f>
        <v>A National Jurisdiction judge in Tegucigalpa dismisses the charges against the thirteen defenders during the initial hearings. The judge considered that the actions fell within the Honduran Secretary of Human Rights ’definition of a “socio-environmental conflict”, and decided that the protest was legitimate, given it was the only tool available for civil society actors to gain the attention of relevant State officials.</v>
      </c>
      <c r="B16" s="28" t="str">
        <f>TEXT(Events!B16, "MM/DD/YYYY")</f>
        <v>03/02/2019</v>
      </c>
      <c r="C16" s="5"/>
      <c r="D16" s="20" t="str">
        <f>Events!D16</f>
        <v>Juzgado de Jurisdicción Nacional, Tegucigalpa</v>
      </c>
      <c r="E16" s="21">
        <v>14.1029939704914</v>
      </c>
      <c r="F16" s="21">
        <v>-87.1879263277424</v>
      </c>
      <c r="G16" s="29" t="str">
        <f>IF(ISBLANK(Events!E16), "", Events!E16)</f>
        <v>n4</v>
      </c>
      <c r="H16" s="29" t="str">
        <f>IF(ISBLANK(Events!F16), "", Events!F16)</f>
        <v>c6</v>
      </c>
      <c r="I16" s="20" t="str">
        <f>IF(ISBLANK(Events!G16), "", Events!G16)</f>
        <v>src15</v>
      </c>
    </row>
    <row r="17" ht="15.75" customHeight="1">
      <c r="A17" s="20" t="str">
        <f>Events!A17</f>
        <v>The detainees are released.</v>
      </c>
      <c r="B17" s="28" t="str">
        <f>TEXT(Events!B17, "MM/DD/YYYY")</f>
        <v>03/06/2019</v>
      </c>
      <c r="C17" s="5"/>
      <c r="D17" s="20" t="str">
        <f>Events!D17</f>
        <v/>
      </c>
      <c r="E17" s="21"/>
      <c r="F17" s="21"/>
      <c r="G17" s="29" t="str">
        <f>IF(ISBLANK(Events!E17), "", Events!E17)</f>
        <v>n4</v>
      </c>
      <c r="H17" s="29" t="str">
        <f>IF(ISBLANK(Events!F17), "", Events!F17)</f>
        <v>c6</v>
      </c>
      <c r="I17" s="20" t="str">
        <f>IF(ISBLANK(Events!G17), "", Events!G17)</f>
        <v>src16</v>
      </c>
    </row>
    <row r="18" ht="15.75" customHeight="1">
      <c r="A18" s="20" t="str">
        <f>Events!A18</f>
        <v>Seven additional community members voluntarily appear before a National Jurisdiction judge in Tegucigalpa to address charges from the second arrest warrant. They arrive carrying a casket representing an eighth deceased community member. They are joined by en eight community member, Jeremías Martínez Díaz, who was being held in pretrial detention in La Ceiba since December 2018 facing the same charges.</v>
      </c>
      <c r="B18" s="28" t="str">
        <f>TEXT(Events!B18, "MM/DD/YYYY")</f>
        <v>08/26/2019</v>
      </c>
      <c r="C18" s="5"/>
      <c r="D18" s="20" t="str">
        <f>Events!D18</f>
        <v>Juzgado de Jurisdicción Nacional, Tegucigalpa</v>
      </c>
      <c r="E18" s="21">
        <v>14.1029939704914</v>
      </c>
      <c r="F18" s="21">
        <v>-87.1879263277424</v>
      </c>
      <c r="G18" s="29" t="str">
        <f>IF(ISBLANK(Events!E18), "", Events!E18)</f>
        <v>n4</v>
      </c>
      <c r="H18" s="29" t="str">
        <f>IF(ISBLANK(Events!F18), "", Events!F18)</f>
        <v>c4</v>
      </c>
      <c r="I18" s="20" t="str">
        <f>IF(ISBLANK(Events!G18), "", Events!G18)</f>
        <v>src17</v>
      </c>
    </row>
    <row r="19" ht="15.75" customHeight="1">
      <c r="A19" s="20" t="str">
        <f>Events!A19</f>
        <v>Roberto Antonio Argueta Tejada, an environmental defender from Colón, is shot to death near the San Isidro hospital in Tocoa. Source.</v>
      </c>
      <c r="B19" s="28" t="str">
        <f>TEXT(Events!B19, "MM/DD/YYYY")</f>
        <v>08/28/2019</v>
      </c>
      <c r="C19" s="5"/>
      <c r="D19" s="20" t="str">
        <f>Events!D19</f>
        <v>Hospital San Isidro, Tocoa</v>
      </c>
      <c r="E19" s="21">
        <v>15.6623481854638</v>
      </c>
      <c r="F19" s="21">
        <v>-86.0012684938828</v>
      </c>
      <c r="G19" s="29" t="str">
        <f>IF(ISBLANK(Events!E19), "", Events!E19)</f>
        <v>n3</v>
      </c>
      <c r="H19" s="29" t="str">
        <f>IF(ISBLANK(Events!F19), "", Events!F19)</f>
        <v>c3</v>
      </c>
      <c r="I19" s="20" t="str">
        <f>IF(ISBLANK(Events!G19), "", Events!G19)</f>
        <v>src18</v>
      </c>
    </row>
    <row r="20" ht="15.75" customHeight="1">
      <c r="A20" s="20" t="str">
        <f>Events!A20</f>
        <v>In Tegucigalpa, National Jurisdiction Judge Claudio Aguilar grants Arnold Javier Alemán a temporary dismissal on the charges of illegal trespass and damages, leaving the remainder of the charges intact.</v>
      </c>
      <c r="B20" s="28" t="str">
        <f>TEXT(Events!B20, "MM/DD/YYYY")</f>
        <v>08/30/2019</v>
      </c>
      <c r="C20" s="5"/>
      <c r="D20" s="20" t="str">
        <f>Events!D20</f>
        <v>Juzgado de Jurisdicción Nacional, Tegucigalpa</v>
      </c>
      <c r="E20" s="21">
        <v>14.1029939704914</v>
      </c>
      <c r="F20" s="21">
        <v>-87.1879263277424</v>
      </c>
      <c r="G20" s="29" t="str">
        <f>IF(ISBLANK(Events!E20), "", Events!E20)</f>
        <v>n4</v>
      </c>
      <c r="H20" s="29" t="str">
        <f>IF(ISBLANK(Events!F20), "", Events!F20)</f>
        <v>c6</v>
      </c>
      <c r="I20" s="20" t="str">
        <f>IF(ISBLANK(Events!G20), "", Events!G20)</f>
        <v>src19</v>
      </c>
    </row>
    <row r="21" ht="15.75" customHeight="1">
      <c r="A21" s="20" t="str">
        <f>Events!A21</f>
        <v>National Jurisdiction Judge Lizeth Vallecillo issues a ruling that links the nine environmental defenders to judicial proceeding for crimes of aggravated arson and unjust deprivation of liberty, while dismissing the crimes of illicit association and theft. They are subsequently placed in pretrial detention in Olanchito.</v>
      </c>
      <c r="B21" s="28" t="str">
        <f>TEXT(Events!B21, "MM/DD/YYYY")</f>
        <v>09/01/2019</v>
      </c>
      <c r="C21" s="5"/>
      <c r="D21" s="20" t="str">
        <f>Events!D21</f>
        <v>Juzgado de Jurisdicción Nacional, Tegucigalpa</v>
      </c>
      <c r="E21" s="21">
        <v>14.1029939704914</v>
      </c>
      <c r="F21" s="21">
        <v>-87.1879263277424</v>
      </c>
      <c r="G21" s="29" t="str">
        <f>IF(ISBLANK(Events!E21), "", Events!E21)</f>
        <v>n4</v>
      </c>
      <c r="H21" s="29" t="str">
        <f>IF(ISBLANK(Events!F21), "", Events!F21)</f>
        <v>c4</v>
      </c>
      <c r="I21" s="20" t="str">
        <f>IF(ISBLANK(Events!G21), "", Events!G21)</f>
        <v>src20</v>
      </c>
    </row>
    <row r="22" ht="15.75" customHeight="1">
      <c r="A22" s="20" t="str">
        <f>Events!A22</f>
        <v>The National Jurisdiction Court of Appeals rejects a habeas corpus petition filed by the defence attorney. In response, prominent international advocacy organizations, including the Due Process of Law Foundation (DPLF), Human Rights Research and Education Centre, and the Collective Corporation of Lawyers “José Alvear Restrepo” filed a joint amicus brief echoing the defense attorneys ’previously expressed concerns and asserting that the community leaders ’detention was in violation of both domestic and international law.</v>
      </c>
      <c r="B22" s="28" t="str">
        <f>TEXT(Events!B22, "MM/DD/YYYY")</f>
        <v>09/25/2019</v>
      </c>
      <c r="C22" s="5"/>
      <c r="D22" s="20" t="str">
        <f>Events!D22</f>
        <v>Juzgado de Jurisdicción Nacional, Tegucigalpa</v>
      </c>
      <c r="E22" s="21">
        <v>14.1029939704914</v>
      </c>
      <c r="F22" s="21">
        <v>-87.1879263277424</v>
      </c>
      <c r="G22" s="29" t="str">
        <f>IF(ISBLANK(Events!E22), "", Events!E22)</f>
        <v>n4</v>
      </c>
      <c r="H22" s="29" t="str">
        <f>IF(ISBLANK(Events!F22), "", Events!F22)</f>
        <v>c6</v>
      </c>
      <c r="I22" s="20" t="str">
        <f>IF(ISBLANK(Events!G22), "", Events!G22)</f>
        <v>src21</v>
      </c>
    </row>
    <row r="23" ht="15.75" customHeight="1">
      <c r="A23" s="20" t="str">
        <f>Events!A23</f>
        <v>Following another hearing, the decision is made to extend the pretrial detention of the Guapinol activists.</v>
      </c>
      <c r="B23" s="28" t="str">
        <f>TEXT(Events!B23, "MM/DD/YYYY")</f>
        <v>11/06/2019</v>
      </c>
      <c r="C23" s="5"/>
      <c r="D23" s="20" t="str">
        <f>Events!D23</f>
        <v>Juzgado de Jurisdicción Nacional, Tegucigalpa</v>
      </c>
      <c r="E23" s="21">
        <v>14.1029939704914</v>
      </c>
      <c r="F23" s="21">
        <v>-87.1879263277424</v>
      </c>
      <c r="G23" s="29" t="str">
        <f>IF(ISBLANK(Events!E23), "", Events!E23)</f>
        <v>n4</v>
      </c>
      <c r="H23" s="29" t="str">
        <f>IF(ISBLANK(Events!F23), "", Events!F23)</f>
        <v>c4</v>
      </c>
      <c r="I23" s="20" t="str">
        <f>IF(ISBLANK(Events!G23), "", Events!G23)</f>
        <v>src22</v>
      </c>
    </row>
    <row r="24" ht="15.75" customHeight="1">
      <c r="A24" s="20" t="str">
        <f>Events!A24</f>
        <v>A series of break-ins are reported at the Tocoa office of the Coordinadora de Organizaciones Populares del Aguán (COPA), a conglomerate of organisations defending human, enviornmental, and social rights in the Aguan Valley Region. Unidentified individuals stole a computer and printer and ransacked drawers filled with documents. COPA member Carlos Leonel George reported the incident to the police. However, rather than investigate the break-ins, the police arrested Carlos Leonel George, who was one of the twelve Guapinol community members who voluntarily went to court in February 2019, only to have all the charges against them dismissed.</v>
      </c>
      <c r="B24" s="28" t="str">
        <f>TEXT(Events!B24, "MM/DD/YYYY")</f>
        <v>12/01/2019</v>
      </c>
      <c r="C24" s="5"/>
      <c r="D24" s="20" t="str">
        <f>Events!D24</f>
        <v/>
      </c>
      <c r="E24" s="21"/>
      <c r="F24" s="21"/>
      <c r="G24" s="29" t="str">
        <f>IF(ISBLANK(Events!E24), "", Events!E24)</f>
        <v>n3</v>
      </c>
      <c r="H24" s="29" t="str">
        <f>IF(ISBLANK(Events!F24), "", Events!F24)</f>
        <v>c3</v>
      </c>
      <c r="I24" s="20" t="str">
        <f>IF(ISBLANK(Events!G24), "", Events!G24)</f>
        <v>src23</v>
      </c>
    </row>
    <row r="25" ht="15.75" customHeight="1">
      <c r="A25" s="20" t="str">
        <f>Events!A25</f>
        <v>The Center for International Justice and Law (CEJIL) submits an amicus brief to the National Jurisdiction Court of Appeals.</v>
      </c>
      <c r="B25" s="28" t="str">
        <f>TEXT(Events!B25, "MM/DD/YYYY")</f>
        <v>02/27/2020</v>
      </c>
      <c r="C25" s="5"/>
      <c r="D25" s="20" t="str">
        <f>Events!D25</f>
        <v/>
      </c>
      <c r="E25" s="24"/>
      <c r="F25" s="24"/>
      <c r="G25" s="29" t="str">
        <f>IF(ISBLANK(Events!E25), "", Events!E25)</f>
        <v>n4</v>
      </c>
      <c r="H25" s="29" t="str">
        <f>IF(ISBLANK(Events!F25), "", Events!F25)</f>
        <v>c7</v>
      </c>
      <c r="I25" s="20" t="str">
        <f>IF(ISBLANK(Events!G25), "", Events!G25)</f>
        <v>src24</v>
      </c>
    </row>
    <row r="26" ht="15.75" customHeight="1">
      <c r="A26" s="20" t="str">
        <f>Events!A26</f>
        <v>A group of civil society organizations, including the National Committee against Torture and Cruel, Inhumane, and Degrading Treatment (MNP-CONAPREV) and the Committee for Family of the Detained and Disappeared (COFADEH), amongst others, file a second habeas corpus petition with the Supreme Court of Honduras.</v>
      </c>
      <c r="B26" s="28" t="str">
        <f>TEXT(Events!B26, "MM/DD/YYYY")</f>
        <v>03/24/2020</v>
      </c>
      <c r="C26" s="5"/>
      <c r="D26" s="20" t="str">
        <f>Events!D26</f>
        <v/>
      </c>
      <c r="E26" s="21"/>
      <c r="F26" s="21"/>
      <c r="G26" s="29" t="str">
        <f>IF(ISBLANK(Events!E26), "", Events!E26)</f>
        <v>n4</v>
      </c>
      <c r="H26" s="29" t="str">
        <f>IF(ISBLANK(Events!F26), "", Events!F26)</f>
        <v>c5</v>
      </c>
      <c r="I26" s="20" t="str">
        <f>IF(ISBLANK(Events!G26), "", Events!G26)</f>
        <v>src25</v>
      </c>
    </row>
    <row r="27" ht="15.75" customHeight="1">
      <c r="A27" s="20" t="str">
        <f>Events!A27</f>
        <v>In Tegucigalpa, the National Jurisdiction Court of Appeals a dismissal previously issued in favour of human rights defenders Juan Antonio López, Carlos Leonel George, Reinaldo Domínguez, José Adalid Cedillo and Marco Tulio Ramos.</v>
      </c>
      <c r="B27" s="28" t="str">
        <f>TEXT(Events!B27, "MM/DD/YYYY")</f>
        <v>08/13/2020</v>
      </c>
      <c r="C27" s="5"/>
      <c r="D27" s="20" t="str">
        <f>Events!D27</f>
        <v>Juzgado de Jurisdicción Nacional, Tegucigalpa</v>
      </c>
      <c r="E27" s="21">
        <v>14.1029939704914</v>
      </c>
      <c r="F27" s="21">
        <v>-87.1879263277424</v>
      </c>
      <c r="G27" s="29" t="str">
        <f>IF(ISBLANK(Events!E27), "", Events!E27)</f>
        <v>n4</v>
      </c>
      <c r="H27" s="29" t="str">
        <f>IF(ISBLANK(Events!F27), "", Events!F27)</f>
        <v>c6</v>
      </c>
      <c r="I27" s="20" t="str">
        <f>IF(ISBLANK(Events!G27), "", Events!G27)</f>
        <v>src26</v>
      </c>
    </row>
    <row r="28" ht="15.75" customHeight="1">
      <c r="A28" s="20" t="str">
        <f>Events!A28</f>
        <v>The Honduran Human Rights Ombudsperson writes a public letter directed at the judicial authorities which describes the detained members of the CMDBCP as human rights activists engaged in legitimate protest activities.</v>
      </c>
      <c r="B28" s="28" t="str">
        <f>TEXT(Events!B28, "MM/DD/YYYY")</f>
        <v>09/22/2020</v>
      </c>
      <c r="C28" s="5"/>
      <c r="D28" s="20" t="str">
        <f>Events!D28</f>
        <v/>
      </c>
      <c r="E28" s="21"/>
      <c r="F28" s="21"/>
      <c r="G28" s="29" t="str">
        <f>IF(ISBLANK(Events!E28), "", Events!E28)</f>
        <v>n4</v>
      </c>
      <c r="H28" s="29" t="str">
        <f>IF(ISBLANK(Events!F28), "", Events!F28)</f>
        <v>c7</v>
      </c>
      <c r="I28" s="20" t="str">
        <f>IF(ISBLANK(Events!G28), "", Events!G28)</f>
        <v>src27</v>
      </c>
    </row>
    <row r="29" ht="15.75" customHeight="1">
      <c r="A29" s="20" t="str">
        <f>Events!A29</f>
        <v>Joaquin Morazan Erazo, named in the 2018 arrest warrant, is shot and killed at his home in Tocoa, Colon.</v>
      </c>
      <c r="B29" s="28" t="str">
        <f>TEXT(Events!B29, "MM/DD/YYYY")</f>
        <v>10/13/2020</v>
      </c>
      <c r="C29" s="5"/>
      <c r="D29" s="20" t="str">
        <f>Events!D29</f>
        <v>Tocoa</v>
      </c>
      <c r="E29" s="21">
        <v>15.6576233235246</v>
      </c>
      <c r="F29" s="21">
        <v>-85.997823975983</v>
      </c>
      <c r="G29" s="29" t="str">
        <f>IF(ISBLANK(Events!E29), "", Events!E29)</f>
        <v>n3</v>
      </c>
      <c r="H29" s="29" t="str">
        <f>IF(ISBLANK(Events!F29), "", Events!F29)</f>
        <v>c3</v>
      </c>
      <c r="I29" s="20" t="str">
        <f>IF(ISBLANK(Events!G29), "", Events!G29)</f>
        <v>src28</v>
      </c>
    </row>
    <row r="30" ht="15.75" customHeight="1">
      <c r="A30" s="20" t="str">
        <f>Events!A30</f>
        <v>The Office of the United Nations High Commissioner for Human Rights (UN OHCHR) issues a country report raising concerns about the misuse of the judicial system in the Guapinol case.</v>
      </c>
      <c r="B30" s="28" t="str">
        <f>TEXT(Events!B30, "MM/DD/YYYY")</f>
        <v>02/25/2021</v>
      </c>
      <c r="C30" s="5"/>
      <c r="D30" s="20" t="str">
        <f>Events!D30</f>
        <v/>
      </c>
      <c r="E30" s="21"/>
      <c r="F30" s="21"/>
      <c r="G30" s="29" t="str">
        <f>IF(ISBLANK(Events!E30), "", Events!E30)</f>
        <v>n4</v>
      </c>
      <c r="H30" s="29" t="str">
        <f>IF(ISBLANK(Events!F30), "", Events!F30)</f>
        <v>c7</v>
      </c>
      <c r="I30" s="20" t="str">
        <f>IF(ISBLANK(Events!G30), "", Events!G30)</f>
        <v>src29</v>
      </c>
    </row>
    <row r="31" ht="15.75" customHeight="1">
      <c r="A31" s="20" t="str">
        <f>Events!A31</f>
        <v>The UN Working Group on Arbitrary Detention declares the Guapinol Eight -- Porfirio Sorto Cedillo, José Abelino Cedillo, Kelvin Alejandro Romero, Arnol Javier Alemán, Ever Alexander Cedillo, Orbin Nahún Hernández, and Daniel Márquez -- to be arbitrarily detained and calls for their release.</v>
      </c>
      <c r="B31" s="28" t="str">
        <f>TEXT(Events!B31, "MM/DD/YYYY")</f>
        <v>03/03/2021</v>
      </c>
      <c r="C31" s="5"/>
      <c r="D31" s="20" t="str">
        <f>Events!D31</f>
        <v/>
      </c>
      <c r="E31" s="21"/>
      <c r="F31" s="21"/>
      <c r="G31" s="29" t="str">
        <f>IF(ISBLANK(Events!E31), "", Events!E31)</f>
        <v>n4</v>
      </c>
      <c r="H31" s="29" t="str">
        <f>IF(ISBLANK(Events!F31), "", Events!F31)</f>
        <v>c7</v>
      </c>
      <c r="I31" s="20" t="str">
        <f>IF(ISBLANK(Events!G31), "", Events!G31)</f>
        <v>src30</v>
      </c>
    </row>
    <row r="32" ht="15.75" customHeight="1">
      <c r="A32" s="20" t="str">
        <f>Events!A32</f>
        <v>The preventive detention of the Guapinol Eight is extended for an six additional months.</v>
      </c>
      <c r="B32" s="28" t="str">
        <f>TEXT(Events!B32, "MM/DD/YYYY")</f>
        <v>08/26/2021</v>
      </c>
      <c r="C32" s="5"/>
      <c r="D32" s="20" t="str">
        <f>Events!D32</f>
        <v/>
      </c>
      <c r="E32" s="21"/>
      <c r="F32" s="21"/>
      <c r="G32" s="29" t="str">
        <f>IF(ISBLANK(Events!E32), "", Events!E32)</f>
        <v>n4</v>
      </c>
      <c r="H32" s="29" t="str">
        <f>IF(ISBLANK(Events!F32), "", Events!F32)</f>
        <v>c4</v>
      </c>
      <c r="I32" s="20" t="str">
        <f>IF(ISBLANK(Events!G32), "", Events!G32)</f>
        <v>src31</v>
      </c>
    </row>
    <row r="33" ht="15.75" customHeight="1">
      <c r="A33" s="20" t="str">
        <f>Events!A33</f>
        <v>The trial against the Guapinol Eight begins, after over two years of pre-trial detention.</v>
      </c>
      <c r="B33" s="28" t="str">
        <f>TEXT(Events!B33, "MM/DD/YYYY")</f>
        <v>12/01/2021</v>
      </c>
      <c r="C33" s="5"/>
      <c r="D33" s="20" t="str">
        <f>Events!D33</f>
        <v/>
      </c>
      <c r="E33" s="21"/>
      <c r="F33" s="21"/>
      <c r="G33" s="29" t="str">
        <f>IF(ISBLANK(Events!E33), "", Events!E33)</f>
        <v>n4</v>
      </c>
      <c r="H33" s="29" t="str">
        <f>IF(ISBLANK(Events!F33), "", Events!F33)</f>
        <v>c6</v>
      </c>
      <c r="I33" s="20" t="str">
        <f>IF(ISBLANK(Events!G33), "", Events!G33)</f>
        <v>src32</v>
      </c>
    </row>
    <row r="34" ht="15.75" customHeight="1">
      <c r="A34" s="20" t="str">
        <f>Events!A34</f>
        <v>Amnesty International writes an open letter expressing concerns about irregularities in the prosecution of the Guapinol Eight.</v>
      </c>
      <c r="B34" s="28" t="str">
        <f>TEXT(Events!B34, "MM/DD/YYYY")</f>
        <v>12/11/2021</v>
      </c>
      <c r="C34" s="5"/>
      <c r="D34" s="20" t="str">
        <f>Events!D34</f>
        <v/>
      </c>
      <c r="E34" s="21"/>
      <c r="F34" s="21"/>
      <c r="G34" s="29" t="str">
        <f>IF(ISBLANK(Events!E34), "", Events!E34)</f>
        <v>n4</v>
      </c>
      <c r="H34" s="29" t="str">
        <f>IF(ISBLANK(Events!F34), "", Events!F34)</f>
        <v>c7</v>
      </c>
      <c r="I34" s="20" t="str">
        <f>IF(ISBLANK(Events!G34), "", Events!G34)</f>
        <v>src33</v>
      </c>
    </row>
    <row r="35" ht="15.75" customHeight="1">
      <c r="A35" s="20" t="str">
        <f>Events!A35</f>
        <v>The court in Trujillo finds six of the Guapinol Eight guilty of multiple crimes, including illegal deprivation of liberty and aggravated damages against a contractor of Inversiones Los Pinares, and simple and aggravated damages against the company itself.</v>
      </c>
      <c r="B35" s="28" t="str">
        <f>TEXT(Events!B35, "MM/DD/YYYY")</f>
        <v>02/09/2022</v>
      </c>
      <c r="C35" s="5"/>
      <c r="D35" s="20" t="str">
        <f>Events!D35</f>
        <v/>
      </c>
      <c r="E35" s="21"/>
      <c r="F35" s="21"/>
      <c r="G35" s="29" t="str">
        <f>IF(ISBLANK(Events!E35), "", Events!E35)</f>
        <v>n4</v>
      </c>
      <c r="H35" s="29" t="str">
        <f>IF(ISBLANK(Events!F35), "", Events!F35)</f>
        <v>c6</v>
      </c>
      <c r="I35" s="20" t="str">
        <f>IF(ISBLANK(Events!G35), "", Events!G35)</f>
        <v>src34</v>
      </c>
    </row>
    <row r="36" ht="15.75" customHeight="1">
      <c r="A36" s="20" t="str">
        <f>Events!A36</f>
        <v>One day after the sentencing, the Supreme Court declares a mistrial and grants injunctions in favour of the Guapinol Eight.</v>
      </c>
      <c r="B36" s="28" t="str">
        <f>TEXT(Events!B36, "MM/DD/YYYY")</f>
        <v>02/10/2022</v>
      </c>
      <c r="C36" s="5"/>
      <c r="D36" s="20" t="str">
        <f>Events!D36</f>
        <v>Corte Suprema de Justicia, Tegucigalpa</v>
      </c>
      <c r="E36" s="21">
        <v>14.0728133991815</v>
      </c>
      <c r="F36" s="21">
        <v>-87.2009227545023</v>
      </c>
      <c r="G36" s="29" t="str">
        <f>IF(ISBLANK(Events!E36), "", Events!E36)</f>
        <v>n4</v>
      </c>
      <c r="H36" s="29" t="str">
        <f>IF(ISBLANK(Events!F36), "", Events!F36)</f>
        <v>c6</v>
      </c>
      <c r="I36" s="20" t="str">
        <f>IF(ISBLANK(Events!G36), "", Events!G36)</f>
        <v>src35</v>
      </c>
    </row>
    <row r="37" ht="15.75" customHeight="1">
      <c r="A37" s="20" t="str">
        <f>Events!A37</f>
        <v>Environmental rights defenders José Daniel Márquez, José Abelino Cedillo, Ewer Cedillo, Kelvin Romero, Orbin Nahún Hernández and Porfirio Soto, are released on bail after 914 days spent in pre-trial detention.</v>
      </c>
      <c r="B37" s="28" t="str">
        <f>TEXT(Events!B37, "MM/DD/YYYY")</f>
        <v>02/25/2022</v>
      </c>
      <c r="C37" s="5"/>
      <c r="D37" s="20" t="str">
        <f>Events!D37</f>
        <v/>
      </c>
      <c r="E37" s="21"/>
      <c r="F37" s="21"/>
      <c r="G37" s="29" t="str">
        <f>IF(ISBLANK(Events!E37), "", Events!E37)</f>
        <v>n4</v>
      </c>
      <c r="H37" s="29" t="str">
        <f>IF(ISBLANK(Events!F37), "", Events!F37)</f>
        <v>c6</v>
      </c>
      <c r="I37" s="20" t="str">
        <f>IF(ISBLANK(Events!G37), "", Events!G37)</f>
        <v>src36</v>
      </c>
    </row>
    <row r="38" ht="15.75" customHeight="1">
      <c r="A38" s="20" t="str">
        <f>Events!A38</f>
        <v>Aly Magdaleno Domínguez Ramos and Jairo Bonilla Ayala, among the 32 activists criminalised for their opposition to the mining project, are murdered in Guapinol.</v>
      </c>
      <c r="B38" s="28" t="str">
        <f>TEXT(Events!B38, "MM/DD/YYYY")</f>
        <v>01/07/2023</v>
      </c>
      <c r="C38" s="5"/>
      <c r="D38" s="20" t="str">
        <f>Events!D38</f>
        <v>Guapinol</v>
      </c>
      <c r="E38" s="21">
        <v>15.6155138823523</v>
      </c>
      <c r="F38" s="21">
        <v>-86.0380325062173</v>
      </c>
      <c r="G38" s="29" t="str">
        <f>IF(ISBLANK(Events!E38), "", Events!E38)</f>
        <v>n3</v>
      </c>
      <c r="H38" s="29" t="str">
        <f>IF(ISBLANK(Events!F38), "", Events!F38)</f>
        <v>c3</v>
      </c>
      <c r="I38" s="20" t="str">
        <f>IF(ISBLANK(Events!G38), "", Events!G38)</f>
        <v>src37</v>
      </c>
    </row>
    <row r="39" ht="15.75" customHeight="1">
      <c r="A39" s="20" t="str">
        <f>Events!A39</f>
        <v>Six activists discover they may still face criminal prosecution as a result of an appeal by the Prosecutor's office.</v>
      </c>
      <c r="B39" s="28" t="str">
        <f>TEXT(Events!B39, "MM/DD/YYYY")</f>
        <v>02/07/2023</v>
      </c>
      <c r="C39" s="5"/>
      <c r="D39" s="20" t="str">
        <f>Events!D39</f>
        <v/>
      </c>
      <c r="E39" s="21"/>
      <c r="F39" s="21"/>
      <c r="G39" s="29" t="str">
        <f>IF(ISBLANK(Events!E39), "", Events!E39)</f>
        <v>n4</v>
      </c>
      <c r="H39" s="29" t="str">
        <f>IF(ISBLANK(Events!F39), "", Events!F39)</f>
        <v>c4</v>
      </c>
      <c r="I39" s="20" t="str">
        <f>IF(ISBLANK(Events!G39), "", Events!G39)</f>
        <v>src38</v>
      </c>
    </row>
    <row r="40" ht="15.75" customHeight="1">
      <c r="A40" s="20" t="str">
        <f>Events!A40</f>
        <v>Activists from Guapinol report two drones surveilling their homes.</v>
      </c>
      <c r="B40" s="28" t="str">
        <f>TEXT(Events!B40, "MM/DD/YYYY")</f>
        <v>02/21/2023</v>
      </c>
      <c r="C40" s="5"/>
      <c r="D40" s="20" t="str">
        <f>Events!D40</f>
        <v>Guapinol</v>
      </c>
      <c r="E40" s="21">
        <v>15.6155138823523</v>
      </c>
      <c r="F40" s="21">
        <v>-86.0380325062173</v>
      </c>
      <c r="G40" s="29" t="str">
        <f>IF(ISBLANK(Events!E40), "", Events!E40)</f>
        <v>n3</v>
      </c>
      <c r="H40" s="29" t="str">
        <f>IF(ISBLANK(Events!F40), "", Events!F40)</f>
        <v>c3</v>
      </c>
      <c r="I40" s="20" t="str">
        <f>IF(ISBLANK(Events!G40), "", Events!G40)</f>
        <v>src39</v>
      </c>
    </row>
    <row r="41" ht="15.75" customHeight="1">
      <c r="A41" s="20" t="str">
        <f>Events!A41</f>
        <v>Oquelí Domínguez, brother of Aly and Reynaldo Domínguez, is murdered in his home in Guapinol.</v>
      </c>
      <c r="B41" s="28" t="str">
        <f>TEXT(Events!B41, "MM/DD/YYYY")</f>
        <v>06/15/2023</v>
      </c>
      <c r="C41" s="5"/>
      <c r="D41" s="20" t="str">
        <f>Events!D41</f>
        <v>Guapinol</v>
      </c>
      <c r="E41" s="21">
        <v>15.6155138823523</v>
      </c>
      <c r="F41" s="21">
        <v>-86.0380325062173</v>
      </c>
      <c r="G41" s="29" t="str">
        <f>IF(ISBLANK(Events!E41), "", Events!E41)</f>
        <v>n3</v>
      </c>
      <c r="H41" s="29" t="str">
        <f>IF(ISBLANK(Events!F41), "", Events!F41)</f>
        <v>c3</v>
      </c>
      <c r="I41" s="20" t="str">
        <f>IF(ISBLANK(Events!G41), "", Events!G41)</f>
        <v>src40</v>
      </c>
    </row>
    <row r="42" ht="15.75" customHeight="1">
      <c r="A42" s="20" t="str">
        <f>Events!A42</f>
        <v>More than 2,500 community members attend a Public Assembly scheduled to discuss the future of the Los Pinares-ECOTEK megaproject, before the meeting is prematurely suspended by Mayor Adán Fúnez.</v>
      </c>
      <c r="B42" s="28" t="str">
        <f>TEXT(Events!B42, "MM/DD/YYYY")</f>
        <v>12/09/2023</v>
      </c>
      <c r="C42" s="5"/>
      <c r="D42" s="20" t="str">
        <f>Events!D42</f>
        <v>Instituto Froylan Turcios, Tocoa</v>
      </c>
      <c r="E42" s="21">
        <v>15.6577976179903</v>
      </c>
      <c r="F42" s="21">
        <v>-85.9958964441781</v>
      </c>
      <c r="G42" s="29" t="str">
        <f>IF(ISBLANK(Events!E42), "", Events!E42)</f>
        <v>n2</v>
      </c>
      <c r="H42" s="29" t="str">
        <f>IF(ISBLANK(Events!F42), "", Events!F42)</f>
        <v>c2</v>
      </c>
      <c r="I42" s="20" t="str">
        <f>IF(ISBLANK(Events!G42), "", Events!G42)</f>
        <v>src41</v>
      </c>
    </row>
    <row r="43" ht="15.75" customHeight="1">
      <c r="A43" s="20" t="str">
        <f>Events!A43</f>
        <v>The original permits for the ASP and ASP 2 mining concessions expire. Residents organise a protest asking for the permits not to be renewed.</v>
      </c>
      <c r="B43" s="28" t="str">
        <f>TEXT(Events!B43, "MM/DD/YYYY")</f>
        <v>01/28/2024</v>
      </c>
      <c r="C43" s="5"/>
      <c r="D43" s="20" t="str">
        <f>Events!D43</f>
        <v/>
      </c>
      <c r="E43" s="21"/>
      <c r="F43" s="21"/>
      <c r="G43" s="29" t="str">
        <f>IF(ISBLANK(Events!E43), "", Events!E43)</f>
        <v>n2</v>
      </c>
      <c r="H43" s="29" t="str">
        <f>IF(ISBLANK(Events!F43), "", Events!F43)</f>
        <v>c2</v>
      </c>
      <c r="I43" s="20" t="str">
        <f>IF(ISBLANK(Events!G43), "", Events!G43)</f>
        <v>src42</v>
      </c>
    </row>
    <row r="44" ht="15.75" customHeight="1">
      <c r="A44" s="20" t="str">
        <f>Events!A44</f>
        <v>A second Public Assembly, called by Mayor Adán Fúnez without the required support of municipal institutions, is suspended following a legal appeal filed by the CMDBPC.</v>
      </c>
      <c r="B44" s="28" t="str">
        <f>TEXT(Events!B44, "MM/DD/YYYY")</f>
        <v>01/31/2024</v>
      </c>
      <c r="C44" s="5"/>
      <c r="D44" s="20" t="str">
        <f>Events!D44</f>
        <v/>
      </c>
      <c r="E44" s="21"/>
      <c r="F44" s="21"/>
      <c r="G44" s="29" t="str">
        <f>IF(ISBLANK(Events!E44), "", Events!E44)</f>
        <v>n2</v>
      </c>
      <c r="H44" s="29" t="str">
        <f>IF(ISBLANK(Events!F44), "", Events!F44)</f>
        <v>c5</v>
      </c>
      <c r="I44" s="20" t="str">
        <f>IF(ISBLANK(Events!G44), "", Events!G44)</f>
        <v>src43</v>
      </c>
    </row>
    <row r="45" ht="15.75" customHeight="1">
      <c r="A45" s="20" t="str">
        <f>Events!A45</f>
        <v>Plans for a petroleum coke thermoelectric plant are approved at an open council meeting convened by the Tocoa Mayor’s Office. The plant forms part of the Los Pinares/Ecotek project, which already includes the two mining concessions and the iron oxide processing plant. The legitimacy of the meeting and its outcome is disputed by the CMDBCP and other community groups who stage an opposition protest.</v>
      </c>
      <c r="B45" s="28" t="str">
        <f>TEXT(Events!B45, "MM/DD/YYYY")</f>
        <v>06/13/2024</v>
      </c>
      <c r="C45" s="5"/>
      <c r="D45" s="20" t="str">
        <f>Events!D45</f>
        <v>Alcaldia, Tocoa</v>
      </c>
      <c r="E45" s="21">
        <v>15.6557396966744</v>
      </c>
      <c r="F45" s="21">
        <v>-86.0097420134923</v>
      </c>
      <c r="G45" s="29" t="str">
        <f>IF(ISBLANK(Events!E45), "", Events!E45)</f>
        <v>n1</v>
      </c>
      <c r="H45" s="29" t="str">
        <f>IF(ISBLANK(Events!F45), "", Events!F45)</f>
        <v>c1</v>
      </c>
      <c r="I45" s="20" t="str">
        <f>IF(ISBLANK(Events!G45), "", Events!G45)</f>
        <v>src44</v>
      </c>
    </row>
    <row r="46" ht="15.75" customHeight="1">
      <c r="A46" s="20" t="str">
        <f>Events!A46</f>
        <v>The Honduran government adopts Executive Decree 18-2024, restoring the original layout of Carlos Escaleras National Park.</v>
      </c>
      <c r="B46" s="28" t="str">
        <f>TEXT(Events!B46, "MM/DD/YYYY")</f>
        <v>08/14/2024</v>
      </c>
      <c r="C46" s="5"/>
      <c r="D46" s="20" t="str">
        <f>Events!D46</f>
        <v/>
      </c>
      <c r="E46" s="21"/>
      <c r="F46" s="21"/>
      <c r="G46" s="29" t="str">
        <f>IF(ISBLANK(Events!E46), "", Events!E46)</f>
        <v>n1</v>
      </c>
      <c r="H46" s="29" t="str">
        <f>IF(ISBLANK(Events!F46), "", Events!F46)</f>
        <v>c1</v>
      </c>
      <c r="I46" s="20" t="str">
        <f>IF(ISBLANK(Events!G46), "", Events!G46)</f>
        <v>src45</v>
      </c>
    </row>
    <row r="47" ht="15.75" customHeight="1">
      <c r="A47" s="20" t="str">
        <f>Events!A47</f>
        <v>Juan López, Coordinator of the CMDBPC, is shot dead by a group of armed individuals outside of his workplace, the San Isidro Labrador parish in Tocoa, Colon.</v>
      </c>
      <c r="B47" s="28" t="str">
        <f>TEXT(Events!B47, "MM/DD/YYYY")</f>
        <v>09/14/2024</v>
      </c>
      <c r="C47" s="5"/>
      <c r="D47" s="20" t="str">
        <f>Events!D47</f>
        <v>San Isidro Labrador, Tocoa</v>
      </c>
      <c r="E47" s="21">
        <v>15.6556934983432</v>
      </c>
      <c r="F47" s="21">
        <v>-86.0053254159397</v>
      </c>
      <c r="G47" s="29" t="str">
        <f>IF(ISBLANK(Events!E47), "", Events!E47)</f>
        <v>n3</v>
      </c>
      <c r="H47" s="29" t="str">
        <f>IF(ISBLANK(Events!F47), "", Events!F47)</f>
        <v>c3</v>
      </c>
      <c r="I47" s="20" t="str">
        <f>IF(ISBLANK(Events!G47), "", Events!G47)</f>
        <v>src46</v>
      </c>
    </row>
    <row r="48" ht="15.75" customHeight="1">
      <c r="A48" s="20" t="str">
        <f>Events!A48</f>
        <v>The Second Court of Appeals of La Ceiba reopens criminal proceedings against CMDBPC members Carlos Leonel George, Reynaldo Domínguez, José Adaly Cedillo, Marco Tulio Ramos, and the late Juan López.</v>
      </c>
      <c r="B48" s="28" t="str">
        <f>TEXT(Events!B48, "MM/DD/YYYY")</f>
        <v>09/19/2024</v>
      </c>
      <c r="C48" s="5"/>
      <c r="D48" s="20" t="str">
        <f>Events!D48</f>
        <v>Edificio Judicial de La Ceiba, La Ceiba</v>
      </c>
      <c r="E48" s="21">
        <v>15.7695859949707</v>
      </c>
      <c r="F48" s="21">
        <v>-86.7582244178694</v>
      </c>
      <c r="G48" s="29" t="str">
        <f>IF(ISBLANK(Events!E48), "", Events!E48)</f>
        <v>n4</v>
      </c>
      <c r="H48" s="29" t="str">
        <f>IF(ISBLANK(Events!F48), "", Events!F48)</f>
        <v>c4</v>
      </c>
      <c r="I48" s="20" t="str">
        <f>IF(ISBLANK(Events!G48), "", Events!G48)</f>
        <v>src47</v>
      </c>
    </row>
    <row r="49" ht="15.75" customHeight="1">
      <c r="A49" s="20" t="str">
        <f>Events!A49</f>
        <v>Zoe Doralina Guifarro, a judge in Tocoa, Colon, finally grants a definitive letter of freedom to Carlos Leonel George George, Reynaldo Domínguez Ramos, José Adaly Cedillo Mendoza, Marco Tulio Ramos, and the late Juan Antonio López.</v>
      </c>
      <c r="B49" s="28" t="str">
        <f>TEXT(Events!B49, "MM/DD/YYYY")</f>
        <v>10/29/2024</v>
      </c>
      <c r="C49" s="5"/>
      <c r="D49" s="20" t="str">
        <f>Events!D49</f>
        <v>Palacio de Justicia de Tocoa, Tocoa</v>
      </c>
      <c r="E49" s="21">
        <v>15.6644399421503</v>
      </c>
      <c r="F49" s="21">
        <v>-85.9859991349229</v>
      </c>
      <c r="G49" s="29" t="str">
        <f>IF(ISBLANK(Events!E49), "", Events!E49)</f>
        <v>n4</v>
      </c>
      <c r="H49" s="29" t="str">
        <f>IF(ISBLANK(Events!F49), "", Events!F49)</f>
        <v>c6</v>
      </c>
      <c r="I49" s="20" t="str">
        <f>IF(ISBLANK(Events!G49), "", Events!G49)</f>
        <v>src48</v>
      </c>
    </row>
    <row r="50" ht="15.75" customHeight="1">
      <c r="A50" s="20" t="str">
        <f>Events!A50</f>
        <v>Investigators identify Tocoa Mayor Adán Fúnez as a subject of interest in Juan López’s murder, following the discovery of evidence that he had conversations with at least one of the three hitmen arrested in October 2024 in relation to the crime.</v>
      </c>
      <c r="B50" s="28" t="str">
        <f>TEXT(Events!B50, "MM/DD/YYYY")</f>
        <v>02/16/2025</v>
      </c>
      <c r="C50" s="5"/>
      <c r="D50" s="20" t="str">
        <f>Events!D50</f>
        <v/>
      </c>
      <c r="E50" s="21"/>
      <c r="F50" s="21"/>
      <c r="G50" s="29" t="str">
        <f>IF(ISBLANK(Events!E50), "", Events!E50)</f>
        <v>n3</v>
      </c>
      <c r="H50" s="29" t="str">
        <f>IF(ISBLANK(Events!F50), "", Events!F50)</f>
        <v>c3</v>
      </c>
      <c r="I50" s="20" t="str">
        <f>IF(ISBLANK(Events!G50), "", Events!G50)</f>
        <v>src49</v>
      </c>
    </row>
    <row r="51" ht="15.75" customHeight="1">
      <c r="A51" s="20" t="str">
        <f>Events!A51</f>
        <v>Residents organise a public press conference calling for the expulsion of Los Pinares/Ecotek from the Carlos Escaleras National Park, and the imprisonment of those responsible for the murder of Juan López..</v>
      </c>
      <c r="B51" s="28" t="str">
        <f>TEXT(Events!B51, "MM/DD/YYYY")</f>
        <v>02/26/2025</v>
      </c>
      <c r="C51" s="5"/>
      <c r="D51" s="20" t="str">
        <f>Events!D51</f>
        <v>Ministerio Público, Tegucigalpa</v>
      </c>
      <c r="E51" s="21">
        <v>14.0963843362817</v>
      </c>
      <c r="F51" s="21">
        <v>-87.1832685402066</v>
      </c>
      <c r="G51" s="29" t="str">
        <f>IF(ISBLANK(Events!E51), "", Events!E51)</f>
        <v>n2</v>
      </c>
      <c r="H51" s="29" t="str">
        <f>IF(ISBLANK(Events!F51), "", Events!F51)</f>
        <v>c2</v>
      </c>
      <c r="I51" s="20" t="str">
        <f>IF(ISBLANK(Events!G51), "", Events!G51)</f>
        <v>src50</v>
      </c>
    </row>
    <row r="52" ht="15.75" customHeight="1">
      <c r="A52" s="20" t="str">
        <f>Events!A52</f>
        <v>Three Los Pinares/Ecotek executives are summoned before the National Jurisdiction Court in relation to charges of illegal exploitation and aggravated damages.</v>
      </c>
      <c r="B52" s="28" t="str">
        <f>TEXT(Events!B52, "MM/DD/YYYY")</f>
        <v>02/28/2025</v>
      </c>
      <c r="C52" s="5"/>
      <c r="D52" s="20" t="str">
        <f>Events!D52</f>
        <v/>
      </c>
      <c r="E52" s="21"/>
      <c r="F52" s="21"/>
      <c r="G52" s="29" t="str">
        <f>IF(ISBLANK(Events!E52), "", Events!E52)</f>
        <v>n1</v>
      </c>
      <c r="H52" s="29" t="str">
        <f>IF(ISBLANK(Events!F52), "", Events!F52)</f>
        <v>c6</v>
      </c>
      <c r="I52" s="20" t="str">
        <f>IF(ISBLANK(Events!G52), "", Events!G52)</f>
        <v>src51</v>
      </c>
    </row>
  </sheetData>
  <printOptions/>
  <pageMargins bottom="0.75" footer="0.0" header="0.0" left="0.7" right="0.7" top="0.7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43"/>
    <col customWidth="1" min="2" max="2" width="44.43"/>
    <col customWidth="1" min="3" max="3" width="35.86"/>
    <col customWidth="1" min="4" max="4" width="35.43"/>
    <col customWidth="1" min="5" max="5" width="47.43"/>
    <col customWidth="1" min="6" max="6" width="42.71"/>
    <col customWidth="1" min="7" max="7" width="34.43"/>
  </cols>
  <sheetData>
    <row r="1" ht="15.75" customHeight="1">
      <c r="A1" s="18" t="s">
        <v>272</v>
      </c>
      <c r="B1" s="18" t="s">
        <v>273</v>
      </c>
      <c r="C1" s="18" t="s">
        <v>274</v>
      </c>
      <c r="D1" s="18" t="s">
        <v>263</v>
      </c>
      <c r="E1" s="18" t="s">
        <v>275</v>
      </c>
      <c r="F1" s="18" t="s">
        <v>276</v>
      </c>
      <c r="G1" s="18" t="s">
        <v>277</v>
      </c>
      <c r="H1" s="18" t="s">
        <v>278</v>
      </c>
    </row>
    <row r="2" ht="15.75" customHeight="1">
      <c r="A2" s="20" t="str">
        <f>Sources!A2</f>
        <v>src1</v>
      </c>
      <c r="B2" s="20" t="str">
        <f>Sources!B2</f>
        <v>Honduran Government Enacts New General Mining Law</v>
      </c>
      <c r="C2" s="30" t="str">
        <f>IF(ISBLANK(Sources!C2), "", CONCAT("images/", Sources!C2))</f>
        <v/>
      </c>
      <c r="D2" s="20" t="str">
        <f>Sources!D2</f>
        <v>Honduran Government Enacts New General Mining Law</v>
      </c>
      <c r="E2" s="31" t="str">
        <f>IF(ISBLANK(Sources!E2), "", CONCAT("", Sources!E2))</f>
        <v/>
      </c>
      <c r="F2" s="20" t="str">
        <f>IF(ISBLANK(Sources!F2), "", CONCAT("", Sources!F2))</f>
        <v/>
      </c>
      <c r="G2" s="20" t="str">
        <f>IF(ISBLANK(Sources!G2), "", CONCAT("", Sources!G2))</f>
        <v/>
      </c>
      <c r="H2" s="20"/>
    </row>
    <row r="3" ht="15.75" customHeight="1">
      <c r="A3" s="20" t="str">
        <f>Sources!A3</f>
        <v>src2</v>
      </c>
      <c r="B3" s="20" t="str">
        <f>Sources!B3</f>
        <v>Honduras Reduces Carlos Escaleras Mejía National Park Protected Area</v>
      </c>
      <c r="C3" s="30" t="str">
        <f>IF(ISBLANK(Sources!C3), "", CONCAT("images/", Sources!C3))</f>
        <v/>
      </c>
      <c r="D3" s="20" t="str">
        <f>Sources!D3</f>
        <v>Honduras Reduces Carlos Escaleras Mejía National Park Protected Area</v>
      </c>
      <c r="E3" s="31" t="str">
        <f>IF(ISBLANK(Sources!E3), "", CONCAT("", Sources!E3))</f>
        <v>images/231213.png</v>
      </c>
      <c r="F3" s="20" t="str">
        <f>IF(ISBLANK(Sources!F3), "", CONCAT("", Sources!F3))</f>
        <v/>
      </c>
      <c r="G3" s="20" t="str">
        <f>IF(ISBLANK(Sources!G3), "", CONCAT("", Sources!G3))</f>
        <v/>
      </c>
      <c r="H3" s="20"/>
    </row>
    <row r="4" ht="15.75" customHeight="1">
      <c r="A4" s="20" t="str">
        <f>Sources!A4</f>
        <v>src3</v>
      </c>
      <c r="B4" s="20" t="str">
        <f>Sources!B4</f>
        <v>Los Pinares Granted Mining License in National Park</v>
      </c>
      <c r="C4" s="30" t="str">
        <f>IF(ISBLANK(Sources!C4), "", CONCAT("images/", Sources!C4))</f>
        <v/>
      </c>
      <c r="D4" s="20" t="str">
        <f>Sources!D4</f>
        <v>Los Pinares Granted Mining License in National Park</v>
      </c>
      <c r="E4" s="31" t="str">
        <f>IF(ISBLANK(Sources!E4), "", CONCAT("", Sources!E4))</f>
        <v>images/28012014.png</v>
      </c>
      <c r="F4" s="20" t="str">
        <f>IF(ISBLANK(Sources!F4), "", CONCAT("", Sources!F4))</f>
        <v/>
      </c>
      <c r="G4" s="20" t="str">
        <f>IF(ISBLANK(Sources!G4), "", CONCAT("", Sources!G4))</f>
        <v/>
      </c>
      <c r="H4" s="20"/>
    </row>
    <row r="5" ht="15.75" customHeight="1">
      <c r="A5" s="20" t="str">
        <f>Sources!A5</f>
        <v>src4</v>
      </c>
      <c r="B5" s="20" t="str">
        <f>Sources!B5</f>
        <v>ECOTEK Obtains License for Iron Pelletizing Plant</v>
      </c>
      <c r="C5" s="30" t="str">
        <f>IF(ISBLANK(Sources!C5), "", CONCAT("images/", Sources!C5))</f>
        <v/>
      </c>
      <c r="D5" s="20" t="str">
        <f>Sources!D5</f>
        <v>ECOTEK Obtains License for Iron Pelletizing Plant</v>
      </c>
      <c r="E5" s="31" t="str">
        <f>IF(ISBLANK(Sources!E5), "", CONCAT("", Sources!E5))</f>
        <v/>
      </c>
      <c r="F5" s="20" t="str">
        <f>IF(ISBLANK(Sources!F5), "", CONCAT("", Sources!F5))</f>
        <v/>
      </c>
      <c r="G5" s="20" t="str">
        <f>IF(ISBLANK(Sources!G5), "", CONCAT("", Sources!G5))</f>
        <v/>
      </c>
      <c r="H5" s="20"/>
    </row>
    <row r="6" ht="15.75" customHeight="1">
      <c r="A6" s="20" t="str">
        <f>Sources!A6</f>
        <v>src5</v>
      </c>
      <c r="B6" s="20" t="str">
        <f>Sources!B6</f>
        <v>Guapinol River Contamination Documented by Residents</v>
      </c>
      <c r="C6" s="30" t="str">
        <f>IF(ISBLANK(Sources!C6), "", CONCAT("images/", Sources!C6))</f>
        <v/>
      </c>
      <c r="D6" s="20" t="str">
        <f>Sources!D6</f>
        <v>Guapinol River Contamination Documented by Residents</v>
      </c>
      <c r="E6" s="31" t="str">
        <f>IF(ISBLANK(Sources!E6), "", CONCAT("", Sources!E6))</f>
        <v>images/26042018.jpg</v>
      </c>
      <c r="F6" s="20" t="str">
        <f>IF(ISBLANK(Sources!F6), "", CONCAT("", Sources!F6))</f>
        <v>images/26042018a.jpg</v>
      </c>
      <c r="G6" s="20" t="str">
        <f>IF(ISBLANK(Sources!G6), "", CONCAT("", Sources!G6))</f>
        <v>images/26042018b.jpg</v>
      </c>
      <c r="H6" s="20"/>
    </row>
    <row r="7" ht="15.75" customHeight="1">
      <c r="A7" s="20" t="str">
        <f>Sources!A7</f>
        <v>src6</v>
      </c>
      <c r="B7" s="20" t="str">
        <f>Sources!B7</f>
        <v>Community Meeting Organized to Discuss Mining Project</v>
      </c>
      <c r="C7" s="30" t="str">
        <f>IF(ISBLANK(Sources!C7), "", CONCAT("images/", Sources!C7))</f>
        <v/>
      </c>
      <c r="D7" s="20" t="str">
        <f>Sources!D7</f>
        <v>Community Meeting Organized to Discuss Mining Project</v>
      </c>
      <c r="E7" s="31" t="str">
        <f>IF(ISBLANK(Sources!E7), "", CONCAT("", Sources!E7))</f>
        <v>images/07052018.jpg</v>
      </c>
      <c r="F7" s="20" t="str">
        <f>IF(ISBLANK(Sources!F7), "", CONCAT("", Sources!F7))</f>
        <v/>
      </c>
      <c r="G7" s="20" t="str">
        <f>IF(ISBLANK(Sources!G7), "", CONCAT("", Sources!G7))</f>
        <v/>
      </c>
      <c r="H7" s="20"/>
    </row>
    <row r="8" ht="15.75" customHeight="1">
      <c r="A8" s="20" t="str">
        <f>Sources!A8</f>
        <v>src7</v>
      </c>
      <c r="B8" s="20" t="str">
        <f>Sources!B8</f>
        <v>Peaceful Demonstration at Caja Rural Meeting</v>
      </c>
      <c r="C8" s="30" t="str">
        <f>IF(ISBLANK(Sources!C8), "", CONCAT("images/", Sources!C8))</f>
        <v/>
      </c>
      <c r="D8" s="20" t="str">
        <f>Sources!D8</f>
        <v>Peaceful Demonstration at Caja Rural</v>
      </c>
      <c r="E8" s="31" t="str">
        <f>IF(ISBLANK(Sources!E8), "", CONCAT("", Sources!E8))</f>
        <v>images/10052018.jpg</v>
      </c>
      <c r="F8" s="20" t="str">
        <f>IF(ISBLANK(Sources!F8), "", CONCAT("", Sources!F8))</f>
        <v>images/10052018a.jpg</v>
      </c>
      <c r="G8" s="20" t="str">
        <f>IF(ISBLANK(Sources!G8), "", CONCAT("", Sources!G8))</f>
        <v>images/10052018b.jpg</v>
      </c>
      <c r="H8" s="20"/>
    </row>
    <row r="9" ht="15.75" customHeight="1">
      <c r="A9" s="20" t="str">
        <f>Sources!A9</f>
        <v>src8</v>
      </c>
      <c r="B9" s="20" t="str">
        <f>Sources!B9</f>
        <v>Further River Contamination Evidence Circulated</v>
      </c>
      <c r="C9" s="30" t="str">
        <f>IF(ISBLANK(Sources!C9), "", CONCAT("images/", Sources!C9))</f>
        <v/>
      </c>
      <c r="D9" s="20" t="str">
        <f>Sources!D9</f>
        <v>Further River Contamination Evidence Circulated</v>
      </c>
      <c r="E9" s="31" t="str">
        <f>IF(ISBLANK(Sources!E9), "", CONCAT("", Sources!E9))</f>
        <v>images/30072018.jpg</v>
      </c>
      <c r="F9" s="20" t="str">
        <f>IF(ISBLANK(Sources!F9), "", CONCAT("", Sources!F9))</f>
        <v>images/30072018a.mp4</v>
      </c>
      <c r="G9" s="20" t="str">
        <f>IF(ISBLANK(Sources!G9), "", CONCAT("", Sources!G9))</f>
        <v/>
      </c>
      <c r="H9" s="20"/>
    </row>
    <row r="10" ht="15.75" customHeight="1">
      <c r="A10" s="20" t="str">
        <f>Sources!A10</f>
        <v>src9</v>
      </c>
      <c r="B10" s="20" t="str">
        <f>Sources!B10</f>
        <v>Guapinol Encampment Established to Defend Water</v>
      </c>
      <c r="C10" s="30" t="str">
        <f>IF(ISBLANK(Sources!C10), "", CONCAT("images/", Sources!C10))</f>
        <v/>
      </c>
      <c r="D10" s="20" t="str">
        <f>Sources!D10</f>
        <v>Guapinol Encampment Established to Defend Water</v>
      </c>
      <c r="E10" s="31" t="str">
        <f>IF(ISBLANK(Sources!E10), "", CONCAT("", Sources!E10))</f>
        <v>images/01082018.jpg</v>
      </c>
      <c r="F10" s="20" t="str">
        <f>IF(ISBLANK(Sources!F10), "", CONCAT("", Sources!F10))</f>
        <v>images/01082018a.jpg</v>
      </c>
      <c r="G10" s="20" t="str">
        <f>IF(ISBLANK(Sources!G10), "", CONCAT("", Sources!G10))</f>
        <v>images/01082018b.jpg</v>
      </c>
    </row>
    <row r="11" ht="15.75" customHeight="1">
      <c r="A11" s="20" t="str">
        <f>Sources!A11</f>
        <v>src10</v>
      </c>
      <c r="B11" s="20" t="str">
        <f>Sources!B11</f>
        <v>Security Official Shoots Protester During Dispute</v>
      </c>
      <c r="C11" s="30" t="str">
        <f>IF(ISBLANK(Sources!C11), "", CONCAT("images/", Sources!C11))</f>
        <v/>
      </c>
      <c r="D11" s="20" t="str">
        <f>Sources!D11</f>
        <v>Security Official Shoots Protester During Dispute</v>
      </c>
      <c r="E11" s="31" t="str">
        <f>IF(ISBLANK(Sources!E11), "", CONCAT("", Sources!E11))</f>
        <v>images/07092018.jpg</v>
      </c>
      <c r="F11" s="20" t="str">
        <f>IF(ISBLANK(Sources!F11), "", CONCAT("", Sources!F11))</f>
        <v/>
      </c>
      <c r="G11" s="20" t="str">
        <f>IF(ISBLANK(Sources!G11), "", CONCAT("", Sources!G11))</f>
        <v/>
      </c>
    </row>
    <row r="12" ht="15.75" customHeight="1">
      <c r="A12" s="20" t="str">
        <f>Sources!A12</f>
        <v>src11</v>
      </c>
      <c r="B12" s="20" t="str">
        <f>Sources!B12</f>
        <v>Arrest Warrants Issued for Eighteen Community Members</v>
      </c>
      <c r="C12" s="30" t="str">
        <f>IF(ISBLANK(Sources!C12), "", CONCAT("images/", Sources!C12))</f>
        <v/>
      </c>
      <c r="D12" s="20" t="str">
        <f>Sources!D12</f>
        <v>Arrest Warrants Issued for Eighteen Community Members</v>
      </c>
      <c r="E12" s="31" t="str">
        <f>IF(ISBLANK(Sources!E12), "", CONCAT("", Sources!E12))</f>
        <v/>
      </c>
      <c r="F12" s="20" t="str">
        <f>IF(ISBLANK(Sources!F12), "", CONCAT("", Sources!F12))</f>
        <v/>
      </c>
      <c r="G12" s="20" t="str">
        <f>IF(ISBLANK(Sources!G12), "", CONCAT("", Sources!G12))</f>
        <v/>
      </c>
    </row>
    <row r="13" ht="15.75" customHeight="1">
      <c r="A13" s="20" t="str">
        <f>Sources!A13</f>
        <v>src12</v>
      </c>
      <c r="B13" s="20" t="str">
        <f>Sources!B13</f>
        <v>Police and Military Evict Encampment with Violence</v>
      </c>
      <c r="C13" s="30" t="str">
        <f>IF(ISBLANK(Sources!C13), "", CONCAT("images/", Sources!C13))</f>
        <v/>
      </c>
      <c r="D13" s="20" t="str">
        <f>Sources!D13</f>
        <v>Police and Military Evict Encampment with Violence</v>
      </c>
      <c r="E13" s="31" t="str">
        <f>IF(ISBLANK(Sources!E13), "", CONCAT("", Sources!E13))</f>
        <v>images/27102018.mp4</v>
      </c>
      <c r="F13" s="20" t="str">
        <f>IF(ISBLANK(Sources!F13), "", CONCAT("", Sources!F13))</f>
        <v/>
      </c>
      <c r="G13" s="20" t="str">
        <f>IF(ISBLANK(Sources!G13), "", CONCAT("", Sources!G13))</f>
        <v/>
      </c>
    </row>
    <row r="14" ht="15.75" customHeight="1">
      <c r="A14" s="20" t="str">
        <f>Sources!A14</f>
        <v>src13</v>
      </c>
      <c r="B14" s="20" t="str">
        <f>Sources!B14</f>
        <v>Thirteen Community Members Appear Before Court</v>
      </c>
      <c r="C14" s="30" t="str">
        <f>IF(ISBLANK(Sources!C14), "", CONCAT("images/", Sources!C14))</f>
        <v/>
      </c>
      <c r="D14" s="20" t="str">
        <f>Sources!D14</f>
        <v>Thirteen Community Members Appear Before Court</v>
      </c>
      <c r="E14" s="31" t="str">
        <f>IF(ISBLANK(Sources!E14), "", CONCAT("", Sources!E14))</f>
        <v/>
      </c>
      <c r="F14" s="20" t="str">
        <f>IF(ISBLANK(Sources!F14), "", CONCAT("", Sources!F14))</f>
        <v/>
      </c>
      <c r="G14" s="20" t="str">
        <f>IF(ISBLANK(Sources!G14), "", CONCAT("", Sources!G14))</f>
        <v/>
      </c>
    </row>
    <row r="15" ht="15.75" customHeight="1">
      <c r="A15" s="20" t="str">
        <f>Sources!A15</f>
        <v>src14</v>
      </c>
      <c r="B15" s="20" t="str">
        <f>Sources!B15</f>
        <v>Constitutional Challenge Filed Against Decree 252-2013</v>
      </c>
      <c r="C15" s="30" t="str">
        <f>IF(ISBLANK(Sources!C15), "", CONCAT("images/", Sources!C15))</f>
        <v/>
      </c>
      <c r="D15" s="20" t="str">
        <f>Sources!D15</f>
        <v>Constitutional Challenge Filed Against Decree 252-2013</v>
      </c>
      <c r="E15" s="31" t="str">
        <f>IF(ISBLANK(Sources!E15), "", CONCAT("", Sources!E15))</f>
        <v/>
      </c>
      <c r="F15" s="20" t="str">
        <f>IF(ISBLANK(Sources!F15), "", CONCAT("", Sources!F15))</f>
        <v/>
      </c>
      <c r="G15" s="20" t="str">
        <f>IF(ISBLANK(Sources!G15), "", CONCAT("", Sources!G15))</f>
        <v/>
      </c>
    </row>
    <row r="16" ht="15.75" customHeight="1">
      <c r="A16" s="20" t="str">
        <f>Sources!A16</f>
        <v>src15</v>
      </c>
      <c r="B16" s="20" t="str">
        <f>Sources!B16</f>
        <v>Charges Dismissed Against Thirteen Defenders</v>
      </c>
      <c r="C16" s="30" t="str">
        <f>IF(ISBLANK(Sources!C16), "", CONCAT("images/", Sources!C16))</f>
        <v/>
      </c>
      <c r="D16" s="20" t="str">
        <f>Sources!D16</f>
        <v>Charges Dismissed Against Thirteen Defenders</v>
      </c>
      <c r="E16" s="31" t="str">
        <f>IF(ISBLANK(Sources!E16), "", CONCAT("", Sources!E16))</f>
        <v/>
      </c>
      <c r="F16" s="20" t="str">
        <f>IF(ISBLANK(Sources!F16), "", CONCAT("", Sources!F16))</f>
        <v/>
      </c>
      <c r="G16" s="20" t="str">
        <f>IF(ISBLANK(Sources!G16), "", CONCAT("", Sources!G16))</f>
        <v/>
      </c>
    </row>
    <row r="17" ht="15.75" customHeight="1">
      <c r="A17" s="20" t="str">
        <f>Sources!A17</f>
        <v>src16</v>
      </c>
      <c r="B17" s="20" t="str">
        <f>Sources!B17</f>
        <v>Detained Protesters Released</v>
      </c>
      <c r="C17" s="30" t="str">
        <f>IF(ISBLANK(Sources!C17), "", CONCAT("images/", Sources!C17))</f>
        <v/>
      </c>
      <c r="D17" s="20" t="str">
        <f>Sources!D17</f>
        <v>Detained Protesters Released</v>
      </c>
      <c r="E17" s="31" t="str">
        <f>IF(ISBLANK(Sources!E17), "", CONCAT("", Sources!E17))</f>
        <v>images/06032019.jpg</v>
      </c>
      <c r="F17" s="20" t="str">
        <f>IF(ISBLANK(Sources!F17), "", CONCAT("", Sources!F17))</f>
        <v/>
      </c>
      <c r="G17" s="20" t="str">
        <f>IF(ISBLANK(Sources!G17), "", CONCAT("", Sources!G17))</f>
        <v/>
      </c>
    </row>
    <row r="18" ht="15.75" customHeight="1">
      <c r="A18" s="20" t="str">
        <f>Sources!A18</f>
        <v>src17</v>
      </c>
      <c r="B18" s="20" t="str">
        <f>Sources!B18</f>
        <v>Seven Additional Community Members Appear in Court</v>
      </c>
      <c r="C18" s="30" t="str">
        <f>IF(ISBLANK(Sources!C18), "", CONCAT("images/", Sources!C18))</f>
        <v/>
      </c>
      <c r="D18" s="20" t="str">
        <f>Sources!D18</f>
        <v>Seven Additional Community Members Appear in Court</v>
      </c>
      <c r="E18" s="31" t="str">
        <f>IF(ISBLANK(Sources!E18), "", CONCAT("", Sources!E18))</f>
        <v>images/26082019.mp4</v>
      </c>
      <c r="F18" s="20" t="str">
        <f>IF(ISBLANK(Sources!F18), "", CONCAT("", Sources!F18))</f>
        <v/>
      </c>
      <c r="G18" s="20" t="str">
        <f>IF(ISBLANK(Sources!G18), "", CONCAT("", Sources!G18))</f>
        <v/>
      </c>
    </row>
    <row r="19" ht="15.75" customHeight="1">
      <c r="A19" s="20" t="str">
        <f>Sources!A19</f>
        <v>src18</v>
      </c>
      <c r="B19" s="20" t="str">
        <f>Sources!B19</f>
        <v>Environmental Defender Roberto Argueta Assassinated</v>
      </c>
      <c r="C19" s="30" t="str">
        <f>IF(ISBLANK(Sources!C19), "", CONCAT("images/", Sources!C19))</f>
        <v/>
      </c>
      <c r="D19" s="20" t="str">
        <f>Sources!D19</f>
        <v>Environmental Defender Roberto Argueta Assassinated</v>
      </c>
      <c r="E19" s="31" t="str">
        <f>IF(ISBLANK(Sources!E19), "", CONCAT("", Sources!E19))</f>
        <v>images/28082019.jpg</v>
      </c>
      <c r="F19" s="20" t="str">
        <f>IF(ISBLANK(Sources!F19), "", CONCAT("", Sources!F19))</f>
        <v/>
      </c>
      <c r="G19" s="20" t="str">
        <f>IF(ISBLANK(Sources!G19), "", CONCAT("", Sources!G19))</f>
        <v/>
      </c>
    </row>
    <row r="20" ht="15.75" customHeight="1">
      <c r="A20" s="20" t="str">
        <f>Sources!A20</f>
        <v>src19</v>
      </c>
      <c r="B20" s="20" t="str">
        <f>Sources!B20</f>
        <v>Temporary Dismissal Granted to Arnold Alemán</v>
      </c>
      <c r="C20" s="30" t="str">
        <f>IF(ISBLANK(Sources!C20), "", CONCAT("images/", Sources!C20))</f>
        <v/>
      </c>
      <c r="D20" s="20" t="str">
        <f>Sources!D20</f>
        <v>Temporary Dismissal Granted to Arnold Alemán</v>
      </c>
      <c r="E20" s="31" t="str">
        <f>IF(ISBLANK(Sources!E20), "", CONCAT("", Sources!E20))</f>
        <v/>
      </c>
      <c r="F20" s="20" t="str">
        <f>IF(ISBLANK(Sources!F20), "", CONCAT("", Sources!F20))</f>
        <v/>
      </c>
      <c r="G20" s="20" t="str">
        <f>IF(ISBLANK(Sources!G20), "", CONCAT("", Sources!G20))</f>
        <v/>
      </c>
    </row>
    <row r="21" ht="15.75" customHeight="1">
      <c r="A21" s="20" t="str">
        <f>Sources!A21</f>
        <v>src20</v>
      </c>
      <c r="B21" s="20" t="str">
        <f>Sources!B21</f>
        <v>Nine Environmental Defenders Placed in Pretrial Detention</v>
      </c>
      <c r="C21" s="30" t="str">
        <f>IF(ISBLANK(Sources!C21), "", CONCAT("images/", Sources!C21))</f>
        <v/>
      </c>
      <c r="D21" s="20" t="str">
        <f>Sources!D21</f>
        <v>Nine Environmental Defenders Placed in Pretrial Detention</v>
      </c>
      <c r="E21" s="31" t="str">
        <f>IF(ISBLANK(Sources!E21), "", CONCAT("", Sources!E21))</f>
        <v>images/01092019.mp4</v>
      </c>
      <c r="F21" s="20" t="str">
        <f>IF(ISBLANK(Sources!F21), "", CONCAT("", Sources!F21))</f>
        <v/>
      </c>
      <c r="G21" s="20" t="str">
        <f>IF(ISBLANK(Sources!G21), "", CONCAT("", Sources!G21))</f>
        <v/>
      </c>
    </row>
    <row r="22" ht="15.75" customHeight="1">
      <c r="A22" s="20" t="str">
        <f>Sources!A22</f>
        <v>src21</v>
      </c>
      <c r="B22" s="20" t="str">
        <f>Sources!B22</f>
        <v>Court Rejects Habeas Corpus Petition</v>
      </c>
      <c r="C22" s="30" t="str">
        <f>IF(ISBLANK(Sources!C22), "", CONCAT("images/", Sources!C22))</f>
        <v/>
      </c>
      <c r="D22" s="20" t="str">
        <f>Sources!D22</f>
        <v>Court Rejects Habeas Corpus Petition</v>
      </c>
      <c r="E22" s="31" t="str">
        <f>IF(ISBLANK(Sources!E22), "", CONCAT("", Sources!E22))</f>
        <v/>
      </c>
      <c r="F22" s="20" t="str">
        <f>IF(ISBLANK(Sources!F22), "", CONCAT("", Sources!F22))</f>
        <v/>
      </c>
      <c r="G22" s="20" t="str">
        <f>IF(ISBLANK(Sources!G22), "", CONCAT("", Sources!G22))</f>
        <v/>
      </c>
    </row>
    <row r="23" ht="15.75" customHeight="1">
      <c r="A23" s="20" t="str">
        <f>Sources!A23</f>
        <v>src22</v>
      </c>
      <c r="B23" s="20" t="str">
        <f>Sources!B23</f>
        <v>Pretrial Detention Extended for Guapinol Activists</v>
      </c>
      <c r="C23" s="30" t="str">
        <f>IF(ISBLANK(Sources!C23), "", CONCAT("images/", Sources!C23))</f>
        <v/>
      </c>
      <c r="D23" s="20" t="str">
        <f>Sources!D23</f>
        <v>Pretrial Detention Extended for Guapinol Activists</v>
      </c>
      <c r="E23" s="31" t="str">
        <f>IF(ISBLANK(Sources!E23), "", CONCAT("", Sources!E23))</f>
        <v/>
      </c>
      <c r="F23" s="20" t="str">
        <f>IF(ISBLANK(Sources!F23), "", CONCAT("", Sources!F23))</f>
        <v/>
      </c>
      <c r="G23" s="20" t="str">
        <f>IF(ISBLANK(Sources!G23), "", CONCAT("", Sources!G23))</f>
        <v/>
      </c>
    </row>
    <row r="24" ht="15.75" customHeight="1">
      <c r="A24" s="20" t="str">
        <f>Sources!A24</f>
        <v>src23</v>
      </c>
      <c r="B24" s="20" t="str">
        <f>Sources!B24</f>
        <v>Break-ins Reported at COPA Office</v>
      </c>
      <c r="C24" s="30" t="str">
        <f>IF(ISBLANK(Sources!C24), "", CONCAT("images/", Sources!C24))</f>
        <v/>
      </c>
      <c r="D24" s="20" t="str">
        <f>Sources!D24</f>
        <v>Break-ins Reported at COPA Office</v>
      </c>
      <c r="E24" s="31" t="str">
        <f>IF(ISBLANK(Sources!E24), "", CONCAT("", Sources!E24))</f>
        <v/>
      </c>
      <c r="F24" s="20" t="str">
        <f>IF(ISBLANK(Sources!F24), "", CONCAT("", Sources!F24))</f>
        <v/>
      </c>
      <c r="G24" s="20" t="str">
        <f>IF(ISBLANK(Sources!G24), "", CONCAT("", Sources!G24))</f>
        <v/>
      </c>
    </row>
    <row r="25" ht="15.75" customHeight="1">
      <c r="A25" s="20" t="str">
        <f>Sources!A25</f>
        <v>src24</v>
      </c>
      <c r="B25" s="20" t="str">
        <f>Sources!B25</f>
        <v>CEJIL Submits Amicus Brief to Court of Appeals</v>
      </c>
      <c r="C25" s="30" t="str">
        <f>IF(ISBLANK(Sources!C25), "", CONCAT("images/", Sources!C25))</f>
        <v/>
      </c>
      <c r="D25" s="20" t="str">
        <f>Sources!D25</f>
        <v>CEJIL Submits Amicus Brief to Court of Appeals</v>
      </c>
      <c r="E25" s="31" t="str">
        <f>IF(ISBLANK(Sources!E25), "", CONCAT("", Sources!E25))</f>
        <v/>
      </c>
      <c r="F25" s="20" t="str">
        <f>IF(ISBLANK(Sources!F25), "", CONCAT("", Sources!F25))</f>
        <v/>
      </c>
      <c r="G25" s="20" t="str">
        <f>IF(ISBLANK(Sources!G25), "", CONCAT("", Sources!G25))</f>
        <v/>
      </c>
    </row>
    <row r="26" ht="15.75" customHeight="1">
      <c r="A26" s="20" t="str">
        <f>Sources!A26</f>
        <v>src25</v>
      </c>
      <c r="B26" s="20" t="str">
        <f>Sources!B26</f>
        <v>Second Habeas Corpus Petition Filed with Supreme Court</v>
      </c>
      <c r="C26" s="30" t="str">
        <f>IF(ISBLANK(Sources!C26), "", CONCAT("images/", Sources!C26))</f>
        <v/>
      </c>
      <c r="D26" s="20" t="str">
        <f>Sources!D26</f>
        <v>Second Habeas Corpus Petition Filed with Supreme Court</v>
      </c>
      <c r="E26" s="31" t="str">
        <f>IF(ISBLANK(Sources!E26), "", CONCAT("", Sources!E26))</f>
        <v/>
      </c>
      <c r="F26" s="20" t="str">
        <f>IF(ISBLANK(Sources!F26), "", CONCAT("", Sources!F26))</f>
        <v/>
      </c>
      <c r="G26" s="20" t="str">
        <f>IF(ISBLANK(Sources!G26), "", CONCAT("", Sources!G26))</f>
        <v/>
      </c>
    </row>
    <row r="27" ht="15.75" customHeight="1">
      <c r="A27" s="20" t="str">
        <f>Sources!A27</f>
        <v>src26</v>
      </c>
      <c r="B27" s="20" t="str">
        <f>Sources!B27</f>
        <v>Court of Appeals Overturns Previous Dismissal</v>
      </c>
      <c r="C27" s="30" t="str">
        <f>IF(ISBLANK(Sources!C27), "", CONCAT("images/", Sources!C27))</f>
        <v/>
      </c>
      <c r="D27" s="20" t="str">
        <f>Sources!D27</f>
        <v>Court of Appeals Overturns Previous Dismissal</v>
      </c>
      <c r="E27" s="31" t="str">
        <f>IF(ISBLANK(Sources!E27), "", CONCAT("", Sources!E27))</f>
        <v/>
      </c>
      <c r="F27" s="20" t="str">
        <f>IF(ISBLANK(Sources!F27), "", CONCAT("", Sources!F27))</f>
        <v/>
      </c>
      <c r="G27" s="20" t="str">
        <f>IF(ISBLANK(Sources!G27), "", CONCAT("", Sources!G27))</f>
        <v/>
      </c>
    </row>
    <row r="28" ht="15.75" customHeight="1">
      <c r="A28" s="20" t="str">
        <f>Sources!A28</f>
        <v>src27</v>
      </c>
      <c r="B28" s="20" t="str">
        <f>Sources!B28</f>
        <v>Human Rights Ombudsperson Defends CMDBCP Members</v>
      </c>
      <c r="C28" s="30" t="str">
        <f>IF(ISBLANK(Sources!C28), "", CONCAT("images/", Sources!C28))</f>
        <v/>
      </c>
      <c r="D28" s="20" t="str">
        <f>Sources!D28</f>
        <v>Human Rights Ombudsperson Defends CMDBCP Members</v>
      </c>
      <c r="E28" s="31" t="str">
        <f>IF(ISBLANK(Sources!E28), "", CONCAT("", Sources!E28))</f>
        <v/>
      </c>
      <c r="F28" s="20" t="str">
        <f>IF(ISBLANK(Sources!F28), "", CONCAT("", Sources!F28))</f>
        <v/>
      </c>
      <c r="G28" s="20" t="str">
        <f>IF(ISBLANK(Sources!G28), "", CONCAT("", Sources!G28))</f>
        <v/>
      </c>
    </row>
    <row r="29" ht="15.75" customHeight="1">
      <c r="A29" s="20" t="str">
        <f>Sources!A29</f>
        <v>src28</v>
      </c>
      <c r="B29" s="20" t="str">
        <f>Sources!B29</f>
        <v>Joaquin Morazan Erazo Assassinated</v>
      </c>
      <c r="C29" s="30" t="str">
        <f>IF(ISBLANK(Sources!C29), "", CONCAT("images/", Sources!C29))</f>
        <v/>
      </c>
      <c r="D29" s="20" t="str">
        <f>Sources!D29</f>
        <v>Joaquin Morazan Erazo Assassinated</v>
      </c>
      <c r="E29" s="31" t="str">
        <f>IF(ISBLANK(Sources!E29), "", CONCAT("", Sources!E29))</f>
        <v>images/13102020.jpg</v>
      </c>
      <c r="F29" s="20" t="str">
        <f>IF(ISBLANK(Sources!F29), "", CONCAT("", Sources!F29))</f>
        <v/>
      </c>
      <c r="G29" s="20" t="str">
        <f>IF(ISBLANK(Sources!G29), "", CONCAT("", Sources!G29))</f>
        <v/>
      </c>
    </row>
    <row r="30" ht="15.75" customHeight="1">
      <c r="A30" s="20" t="str">
        <f>Sources!A30</f>
        <v>src29</v>
      </c>
      <c r="B30" s="20" t="str">
        <f>Sources!B30</f>
        <v>UN OHCHR Issues Report on Judicial System Misuse</v>
      </c>
      <c r="C30" s="30" t="str">
        <f>IF(ISBLANK(Sources!C30), "", CONCAT("images/", Sources!C30))</f>
        <v/>
      </c>
      <c r="D30" s="20" t="str">
        <f>Sources!D30</f>
        <v>UN OHCHR Issues Report on Judicial System Misuse</v>
      </c>
      <c r="E30" s="31" t="str">
        <f>IF(ISBLANK(Sources!E30), "", CONCAT("", Sources!E30))</f>
        <v/>
      </c>
      <c r="F30" s="20" t="str">
        <f>IF(ISBLANK(Sources!F30), "", CONCAT("", Sources!F30))</f>
        <v/>
      </c>
      <c r="G30" s="20" t="str">
        <f>IF(ISBLANK(Sources!G30), "", CONCAT("", Sources!G30))</f>
        <v/>
      </c>
    </row>
    <row r="31" ht="15.75" customHeight="1">
      <c r="A31" s="20" t="str">
        <f>Sources!A31</f>
        <v>src30</v>
      </c>
      <c r="B31" s="20" t="str">
        <f>Sources!B31</f>
        <v>UN Working Group Declares Guapinol Eight Arbitrarily Detained</v>
      </c>
      <c r="C31" s="30" t="str">
        <f>IF(ISBLANK(Sources!C31), "", CONCAT("images/", Sources!C31))</f>
        <v/>
      </c>
      <c r="D31" s="20" t="str">
        <f>Sources!D31</f>
        <v>UN Working Group Declares Guapinol Eight Arbitrarily Detained</v>
      </c>
      <c r="E31" s="31" t="str">
        <f>IF(ISBLANK(Sources!E31), "", CONCAT("", Sources!E31))</f>
        <v/>
      </c>
      <c r="F31" s="20" t="str">
        <f>IF(ISBLANK(Sources!F31), "", CONCAT("", Sources!F31))</f>
        <v/>
      </c>
      <c r="G31" s="20" t="str">
        <f>IF(ISBLANK(Sources!G31), "", CONCAT("", Sources!G31))</f>
        <v/>
      </c>
    </row>
    <row r="32" ht="15.75" customHeight="1">
      <c r="A32" s="20" t="str">
        <f>Sources!A32</f>
        <v>src31</v>
      </c>
      <c r="B32" s="20" t="str">
        <f>Sources!B32</f>
        <v>Preventive Detention Extended for Guapinol Eight</v>
      </c>
      <c r="C32" s="30" t="str">
        <f>IF(ISBLANK(Sources!C32), "", CONCAT("images/", Sources!C32))</f>
        <v/>
      </c>
      <c r="D32" s="20" t="str">
        <f>Sources!D32</f>
        <v>Preventive Detention Extended for Guapinol Eight</v>
      </c>
      <c r="E32" s="31" t="str">
        <f>IF(ISBLANK(Sources!E32), "", CONCAT("", Sources!E32))</f>
        <v/>
      </c>
      <c r="F32" s="20" t="str">
        <f>IF(ISBLANK(Sources!F32), "", CONCAT("", Sources!F32))</f>
        <v/>
      </c>
      <c r="G32" s="20" t="str">
        <f>IF(ISBLANK(Sources!G32), "", CONCAT("", Sources!G32))</f>
        <v/>
      </c>
    </row>
    <row r="33" ht="15.75" customHeight="1">
      <c r="A33" s="20" t="str">
        <f>Sources!A33</f>
        <v>src32</v>
      </c>
      <c r="B33" s="20" t="str">
        <f>Sources!B33</f>
        <v>Trial Against Guapinol Eight Begins After Two Years</v>
      </c>
      <c r="C33" s="30" t="str">
        <f>IF(ISBLANK(Sources!C33), "", CONCAT("images/", Sources!C33))</f>
        <v/>
      </c>
      <c r="D33" s="20" t="str">
        <f>Sources!D33</f>
        <v>Trial Against Guapinol Eight Begins After Two Years</v>
      </c>
      <c r="E33" s="31" t="str">
        <f>IF(ISBLANK(Sources!E33), "", CONCAT("", Sources!E33))</f>
        <v>images/01122021.mp4</v>
      </c>
      <c r="F33" s="20" t="str">
        <f>IF(ISBLANK(Sources!F33), "", CONCAT("", Sources!F33))</f>
        <v/>
      </c>
      <c r="G33" s="20" t="str">
        <f>IF(ISBLANK(Sources!G33), "", CONCAT("", Sources!G33))</f>
        <v/>
      </c>
    </row>
    <row r="34" ht="15.75" customHeight="1">
      <c r="A34" s="20" t="str">
        <f>Sources!A34</f>
        <v>src33</v>
      </c>
      <c r="B34" s="20" t="str">
        <f>Sources!B34</f>
        <v>Amnesty International Expresses Concerns About Trial</v>
      </c>
      <c r="C34" s="30" t="str">
        <f>IF(ISBLANK(Sources!C34), "", CONCAT("images/", Sources!C34))</f>
        <v/>
      </c>
      <c r="D34" s="20" t="str">
        <f>Sources!D34</f>
        <v>Amnesty International Expresses Concerns About Trial</v>
      </c>
      <c r="E34" s="31" t="str">
        <f>IF(ISBLANK(Sources!E34), "", CONCAT("", Sources!E34))</f>
        <v>images/11122021.jpg</v>
      </c>
      <c r="F34" s="20" t="str">
        <f>IF(ISBLANK(Sources!F34), "", CONCAT("", Sources!F34))</f>
        <v/>
      </c>
      <c r="G34" s="20" t="str">
        <f>IF(ISBLANK(Sources!G34), "", CONCAT("", Sources!G34))</f>
        <v/>
      </c>
    </row>
    <row r="35" ht="15.75" customHeight="1">
      <c r="A35" s="20" t="str">
        <f>Sources!A35</f>
        <v>src34</v>
      </c>
      <c r="B35" s="20" t="str">
        <f>Sources!B35</f>
        <v>Court Finds Six Defendants Guilty of Multiple Crimes</v>
      </c>
      <c r="C35" s="30" t="str">
        <f>IF(ISBLANK(Sources!C35), "", CONCAT("images/", Sources!C35))</f>
        <v/>
      </c>
      <c r="D35" s="20" t="str">
        <f>Sources!D35</f>
        <v>Court Finds Six Defendants Guilty of Multiple Crimes</v>
      </c>
      <c r="E35" s="31" t="str">
        <f>IF(ISBLANK(Sources!E35), "", CONCAT("", Sources!E35))</f>
        <v/>
      </c>
      <c r="F35" s="20" t="str">
        <f>IF(ISBLANK(Sources!F35), "", CONCAT("", Sources!F35))</f>
        <v/>
      </c>
      <c r="G35" s="20" t="str">
        <f>IF(ISBLANK(Sources!G35), "", CONCAT("", Sources!G35))</f>
        <v/>
      </c>
    </row>
    <row r="36" ht="15.75" customHeight="1">
      <c r="A36" s="20" t="str">
        <f>Sources!A36</f>
        <v>src35</v>
      </c>
      <c r="B36" s="20" t="str">
        <f>Sources!B36</f>
        <v>Supreme Court Declares Mistrial and Grants Injunctions</v>
      </c>
      <c r="C36" s="30" t="str">
        <f>IF(ISBLANK(Sources!C36), "", CONCAT("images/", Sources!C36))</f>
        <v/>
      </c>
      <c r="D36" s="20" t="str">
        <f>Sources!D36</f>
        <v>Supreme Court Declares Mistrial and Grants Injunctions</v>
      </c>
      <c r="E36" s="31" t="str">
        <f>IF(ISBLANK(Sources!E36), "", CONCAT("", Sources!E36))</f>
        <v/>
      </c>
      <c r="F36" s="20" t="str">
        <f>IF(ISBLANK(Sources!F36), "", CONCAT("", Sources!F36))</f>
        <v/>
      </c>
      <c r="G36" s="20" t="str">
        <f>IF(ISBLANK(Sources!G36), "", CONCAT("", Sources!G36))</f>
        <v/>
      </c>
    </row>
    <row r="37" ht="15.75" customHeight="1">
      <c r="A37" s="20" t="str">
        <f>Sources!A37</f>
        <v>src36</v>
      </c>
      <c r="B37" s="20" t="str">
        <f>Sources!B37</f>
        <v>Environmental Defenders Released on Bail After 914 Days</v>
      </c>
      <c r="C37" s="30" t="str">
        <f>IF(ISBLANK(Sources!C37), "", CONCAT("images/", Sources!C37))</f>
        <v/>
      </c>
      <c r="D37" s="20" t="str">
        <f>Sources!D37</f>
        <v>Environmental Defenders Released on Bail After 914 Days</v>
      </c>
      <c r="E37" s="31" t="str">
        <f>IF(ISBLANK(Sources!E37), "", CONCAT("", Sources!E37))</f>
        <v>images/25022022.jpg</v>
      </c>
      <c r="F37" s="20" t="str">
        <f>IF(ISBLANK(Sources!F37), "", CONCAT("", Sources!F37))</f>
        <v/>
      </c>
      <c r="G37" s="20" t="str">
        <f>IF(ISBLANK(Sources!G37), "", CONCAT("", Sources!G37))</f>
        <v/>
      </c>
    </row>
    <row r="38" ht="15.75" customHeight="1">
      <c r="A38" s="20" t="str">
        <f>Sources!A38</f>
        <v>src37</v>
      </c>
      <c r="B38" s="20" t="str">
        <f>Sources!B38</f>
        <v>Two Anti-Mining Activists Murdered in Guapinol</v>
      </c>
      <c r="C38" s="30" t="str">
        <f>IF(ISBLANK(Sources!C38), "", CONCAT("images/", Sources!C38))</f>
        <v/>
      </c>
      <c r="D38" s="20" t="str">
        <f>Sources!D38</f>
        <v>Two Anti-Mining Activists Murdered in Guapinol</v>
      </c>
      <c r="E38" s="31" t="str">
        <f>IF(ISBLANK(Sources!E38), "", CONCAT("", Sources!E38))</f>
        <v>images/07012023.jpg</v>
      </c>
      <c r="F38" s="20" t="str">
        <f>IF(ISBLANK(Sources!F38), "", CONCAT("", Sources!F38))</f>
        <v/>
      </c>
      <c r="G38" s="20" t="str">
        <f>IF(ISBLANK(Sources!G38), "", CONCAT("", Sources!G38))</f>
        <v/>
      </c>
    </row>
    <row r="39" ht="15.75" customHeight="1">
      <c r="A39" s="20" t="str">
        <f>Sources!A39</f>
        <v>src38</v>
      </c>
      <c r="B39" s="20" t="str">
        <f>Sources!B39</f>
        <v>Six Activists Face Possible Further Prosecution</v>
      </c>
      <c r="C39" s="30" t="str">
        <f>IF(ISBLANK(Sources!C39), "", CONCAT("images/", Sources!C39))</f>
        <v/>
      </c>
      <c r="D39" s="20" t="str">
        <f>Sources!D39</f>
        <v>Six Activists Face Possible Further Prosecution</v>
      </c>
      <c r="E39" s="31" t="str">
        <f>IF(ISBLANK(Sources!E39), "", CONCAT("", Sources!E39))</f>
        <v/>
      </c>
      <c r="F39" s="20" t="str">
        <f>IF(ISBLANK(Sources!F39), "", CONCAT("", Sources!F39))</f>
        <v/>
      </c>
      <c r="G39" s="20" t="str">
        <f>IF(ISBLANK(Sources!G39), "", CONCAT("", Sources!G39))</f>
        <v/>
      </c>
    </row>
    <row r="40" ht="15.75" customHeight="1">
      <c r="A40" s="20" t="str">
        <f>Sources!A40</f>
        <v>src39</v>
      </c>
      <c r="B40" s="20" t="str">
        <f>Sources!B40</f>
        <v>Drones Reported Surveilling Activists' Homes</v>
      </c>
      <c r="C40" s="30" t="str">
        <f>IF(ISBLANK(Sources!C40), "", CONCAT("images/", Sources!C40))</f>
        <v/>
      </c>
      <c r="D40" s="20" t="str">
        <f>Sources!D40</f>
        <v>Drones Reported Surveilling Activists' Homes</v>
      </c>
      <c r="E40" s="31" t="str">
        <f>IF(ISBLANK(Sources!E40), "", CONCAT("", Sources!E40))</f>
        <v>images/21022023.jpg</v>
      </c>
      <c r="F40" s="20" t="str">
        <f>IF(ISBLANK(Sources!F40), "", CONCAT("", Sources!F40))</f>
        <v/>
      </c>
      <c r="G40" s="20" t="str">
        <f>IF(ISBLANK(Sources!G40), "", CONCAT("", Sources!G40))</f>
        <v/>
      </c>
    </row>
    <row r="41" ht="15.75" customHeight="1">
      <c r="A41" s="20" t="str">
        <f>Sources!A41</f>
        <v>src40</v>
      </c>
      <c r="B41" s="20" t="str">
        <f>Sources!B41</f>
        <v>Oquelí Domínguez Murdered in Guapinol</v>
      </c>
      <c r="C41" s="30" t="str">
        <f>IF(ISBLANK(Sources!C41), "", CONCAT("images/", Sources!C41))</f>
        <v/>
      </c>
      <c r="D41" s="20" t="str">
        <f>Sources!D41</f>
        <v>Oquelí Domínguez Murdered in Guapinol</v>
      </c>
      <c r="E41" s="31" t="str">
        <f>IF(ISBLANK(Sources!E41), "", CONCAT("", Sources!E41))</f>
        <v>images/15062023.jpg</v>
      </c>
      <c r="F41" s="20" t="str">
        <f>IF(ISBLANK(Sources!F41), "", CONCAT("", Sources!F41))</f>
        <v/>
      </c>
      <c r="G41" s="20" t="str">
        <f>IF(ISBLANK(Sources!G41), "", CONCAT("", Sources!G41))</f>
        <v/>
      </c>
    </row>
    <row r="42" ht="15.75" customHeight="1">
      <c r="A42" s="20" t="str">
        <f>Sources!A42</f>
        <v>src41</v>
      </c>
      <c r="B42" s="20" t="str">
        <f>Sources!B42</f>
        <v>Public Assembly on Los Pinares Project Prematurely Suspended</v>
      </c>
      <c r="C42" s="30" t="str">
        <f>IF(ISBLANK(Sources!C42), "", CONCAT("images/", Sources!C42))</f>
        <v/>
      </c>
      <c r="D42" s="20" t="str">
        <f>Sources!D42</f>
        <v>Public Assembly on Los Pinares Project Prematurely Suspended</v>
      </c>
      <c r="E42" s="31" t="str">
        <f>IF(ISBLANK(Sources!E42), "", CONCAT("", Sources!E42))</f>
        <v>images/09122023.jpg</v>
      </c>
      <c r="F42" s="20" t="str">
        <f>IF(ISBLANK(Sources!F42), "", CONCAT("", Sources!F42))</f>
        <v/>
      </c>
      <c r="G42" s="20" t="str">
        <f>IF(ISBLANK(Sources!G42), "", CONCAT("", Sources!G42))</f>
        <v/>
      </c>
    </row>
    <row r="43" ht="15.75" customHeight="1">
      <c r="A43" s="20" t="str">
        <f>Sources!A43</f>
        <v>src42</v>
      </c>
      <c r="B43" s="20" t="str">
        <f>Sources!B43</f>
        <v>Mining Concession Permits Expire and Protests Organized</v>
      </c>
      <c r="C43" s="30" t="str">
        <f>IF(ISBLANK(Sources!C43), "", CONCAT("images/", Sources!C43))</f>
        <v/>
      </c>
      <c r="D43" s="20" t="str">
        <f>Sources!D43</f>
        <v>Mining Concession Permits Expire and Protests Organized</v>
      </c>
      <c r="E43" s="31" t="str">
        <f>IF(ISBLANK(Sources!E43), "", CONCAT("", Sources!E43))</f>
        <v>images/28012024.mp4</v>
      </c>
      <c r="F43" s="20" t="str">
        <f>IF(ISBLANK(Sources!F43), "", CONCAT("", Sources!F43))</f>
        <v>images/28012024a.jpg</v>
      </c>
      <c r="G43" s="20" t="str">
        <f>IF(ISBLANK(Sources!G43), "", CONCAT("", Sources!G43))</f>
        <v/>
      </c>
    </row>
    <row r="44" ht="15.75" customHeight="1">
      <c r="A44" s="20" t="str">
        <f>Sources!A44</f>
        <v>src43</v>
      </c>
      <c r="B44" s="20" t="str">
        <f>Sources!B44</f>
        <v>Second Public Assembly Suspended Following Legal Appeal</v>
      </c>
      <c r="C44" s="30" t="str">
        <f>IF(ISBLANK(Sources!C44), "", CONCAT("images/", Sources!C44))</f>
        <v/>
      </c>
      <c r="D44" s="20" t="str">
        <f>Sources!D44</f>
        <v>Second Public Assembly Suspended Following Legal Appeal</v>
      </c>
      <c r="E44" s="31" t="str">
        <f>IF(ISBLANK(Sources!E44), "", CONCAT("", Sources!E44))</f>
        <v>images/31012024.jpg</v>
      </c>
      <c r="F44" s="20" t="str">
        <f>IF(ISBLANK(Sources!F44), "", CONCAT("", Sources!F44))</f>
        <v/>
      </c>
      <c r="G44" s="20" t="str">
        <f>IF(ISBLANK(Sources!G44), "", CONCAT("", Sources!G44))</f>
        <v/>
      </c>
    </row>
    <row r="45" ht="15.75" customHeight="1">
      <c r="A45" s="20" t="str">
        <f>Sources!A45</f>
        <v>src44</v>
      </c>
      <c r="B45" s="20" t="str">
        <f>Sources!B45</f>
        <v>Petroleum Coke Plant Approved Amid Community Opposition</v>
      </c>
      <c r="C45" s="30" t="str">
        <f>IF(ISBLANK(Sources!C45), "", CONCAT("images/", Sources!C45))</f>
        <v/>
      </c>
      <c r="D45" s="20" t="str">
        <f>Sources!D45</f>
        <v>Petroleum Coke Plant Approved Amid Community Opposition</v>
      </c>
      <c r="E45" s="31" t="str">
        <f>IF(ISBLANK(Sources!E45), "", CONCAT("", Sources!E45))</f>
        <v>images/13062024.jpg</v>
      </c>
      <c r="F45" s="20" t="str">
        <f>IF(ISBLANK(Sources!F45), "", CONCAT("", Sources!F45))</f>
        <v>images/13062024a.mp4</v>
      </c>
      <c r="G45" s="20" t="str">
        <f>IF(ISBLANK(Sources!G45), "", CONCAT("", Sources!G45))</f>
        <v/>
      </c>
    </row>
    <row r="46" ht="15.75" customHeight="1">
      <c r="A46" s="20" t="str">
        <f>Sources!A46</f>
        <v>src45</v>
      </c>
      <c r="B46" s="20" t="str">
        <f>Sources!B46</f>
        <v>Government Restores Original Carlos Escaleras National Park Boundaries</v>
      </c>
      <c r="C46" s="30" t="str">
        <f>IF(ISBLANK(Sources!C46), "", CONCAT("images/", Sources!C46))</f>
        <v/>
      </c>
      <c r="D46" s="20" t="str">
        <f>Sources!D46</f>
        <v>Government Restores Original Carlos Escaleras National Park Boundaries</v>
      </c>
      <c r="E46" s="31" t="str">
        <f>IF(ISBLANK(Sources!E46), "", CONCAT("", Sources!E46))</f>
        <v/>
      </c>
      <c r="F46" s="20" t="str">
        <f>IF(ISBLANK(Sources!F46), "", CONCAT("", Sources!F46))</f>
        <v/>
      </c>
      <c r="G46" s="20" t="str">
        <f>IF(ISBLANK(Sources!G46), "", CONCAT("", Sources!G46))</f>
        <v/>
      </c>
    </row>
    <row r="47" ht="15.75" customHeight="1">
      <c r="A47" s="20" t="str">
        <f>Sources!A47</f>
        <v>src46</v>
      </c>
      <c r="B47" s="20" t="str">
        <f>Sources!B47</f>
        <v>CMDBCP Coordinator Juan López Assassinated</v>
      </c>
      <c r="C47" s="30" t="str">
        <f>IF(ISBLANK(Sources!C47), "", CONCAT("images/", Sources!C47))</f>
        <v/>
      </c>
      <c r="D47" s="20" t="str">
        <f>Sources!D47</f>
        <v>CMDBCP Coordinator Juan López Assassinated</v>
      </c>
      <c r="E47" s="31" t="str">
        <f>IF(ISBLANK(Sources!E47), "", CONCAT("", Sources!E47))</f>
        <v>images/14092024.jpg</v>
      </c>
      <c r="F47" s="20" t="str">
        <f>IF(ISBLANK(Sources!F47), "", CONCAT("", Sources!F47))</f>
        <v/>
      </c>
      <c r="G47" s="20" t="str">
        <f>IF(ISBLANK(Sources!G47), "", CONCAT("", Sources!G47))</f>
        <v/>
      </c>
    </row>
    <row r="48" ht="15.75" customHeight="1">
      <c r="A48" s="20" t="str">
        <f>Sources!A48</f>
        <v>src47</v>
      </c>
      <c r="B48" s="20" t="str">
        <f>Sources!B48</f>
        <v>Criminal Proceedings Reopened Against CMDBCP Members</v>
      </c>
      <c r="C48" s="30" t="str">
        <f>IF(ISBLANK(Sources!C48), "", CONCAT("images/", Sources!C48))</f>
        <v/>
      </c>
      <c r="D48" s="20" t="str">
        <f>Sources!D48</f>
        <v>Criminal Proceedings Reopened Against CMDBCP Members</v>
      </c>
      <c r="E48" s="31" t="str">
        <f>IF(ISBLANK(Sources!E48), "", CONCAT("", Sources!E48))</f>
        <v/>
      </c>
      <c r="F48" s="20" t="str">
        <f>IF(ISBLANK(Sources!F48), "", CONCAT("", Sources!F48))</f>
        <v/>
      </c>
      <c r="G48" s="20" t="str">
        <f>IF(ISBLANK(Sources!G48), "", CONCAT("", Sources!G48))</f>
        <v/>
      </c>
    </row>
    <row r="49" ht="15.75" customHeight="1">
      <c r="A49" s="20" t="str">
        <f>Sources!A49</f>
        <v>src48</v>
      </c>
      <c r="B49" s="20" t="str">
        <f>Sources!B49</f>
        <v>Definitive Freedom Granted to Remaining Defendants</v>
      </c>
      <c r="C49" s="30" t="str">
        <f>IF(ISBLANK(Sources!C49), "", CONCAT("images/", Sources!C49))</f>
        <v/>
      </c>
      <c r="D49" s="20" t="str">
        <f>Sources!D49</f>
        <v>Definitive Freedom Granted to Remaining Defendants</v>
      </c>
      <c r="E49" s="31" t="str">
        <f>IF(ISBLANK(Sources!E49), "", CONCAT("", Sources!E49))</f>
        <v/>
      </c>
      <c r="F49" s="20" t="str">
        <f>IF(ISBLANK(Sources!F49), "", CONCAT("", Sources!F49))</f>
        <v/>
      </c>
      <c r="G49" s="20" t="str">
        <f>IF(ISBLANK(Sources!G49), "", CONCAT("", Sources!G49))</f>
        <v/>
      </c>
    </row>
    <row r="50" ht="15.75" customHeight="1">
      <c r="A50" s="20" t="str">
        <f>Sources!A50</f>
        <v>src49</v>
      </c>
      <c r="B50" s="20" t="str">
        <f>Sources!B50</f>
        <v>Mayor Adán Fúnez Identified as Person of Interest in Murder Case</v>
      </c>
      <c r="C50" s="30" t="str">
        <f>IF(ISBLANK(Sources!C50), "", CONCAT("images/", Sources!C50))</f>
        <v/>
      </c>
      <c r="D50" s="20" t="str">
        <f>Sources!D50</f>
        <v>Mayor Adán Fúnez Identified as Person of Interest in Murder Case</v>
      </c>
      <c r="E50" s="31" t="str">
        <f>IF(ISBLANK(Sources!E50), "", CONCAT("", Sources!E50))</f>
        <v/>
      </c>
      <c r="F50" s="20" t="str">
        <f>IF(ISBLANK(Sources!F50), "", CONCAT("", Sources!F50))</f>
        <v/>
      </c>
      <c r="G50" s="20" t="str">
        <f>IF(ISBLANK(Sources!G50), "", CONCAT("", Sources!G50))</f>
        <v/>
      </c>
    </row>
    <row r="51" ht="15.75" customHeight="1">
      <c r="A51" s="20" t="str">
        <f>Sources!A51</f>
        <v>src50</v>
      </c>
      <c r="B51" s="20" t="str">
        <f>Sources!B51</f>
        <v>Residents Call for Los Pinares Expulsion and Justice for Juan López</v>
      </c>
      <c r="C51" s="30" t="str">
        <f>IF(ISBLANK(Sources!C51), "", CONCAT("images/", Sources!C51))</f>
        <v/>
      </c>
      <c r="D51" s="20" t="str">
        <f>Sources!D51</f>
        <v>Residents Call for Los Pinares Expulsion and Justice for Juan López</v>
      </c>
      <c r="E51" s="31" t="str">
        <f>IF(ISBLANK(Sources!E51), "", CONCAT("", Sources!E51))</f>
        <v>images/26022025.mp4</v>
      </c>
      <c r="F51" s="20" t="str">
        <f>IF(ISBLANK(Sources!F51), "", CONCAT("", Sources!F51))</f>
        <v/>
      </c>
      <c r="G51" s="20" t="str">
        <f>IF(ISBLANK(Sources!G51), "", CONCAT("", Sources!G51))</f>
        <v/>
      </c>
    </row>
    <row r="52" ht="15.75" customHeight="1">
      <c r="A52" s="20" t="str">
        <f>Sources!A52</f>
        <v>src51</v>
      </c>
      <c r="B52" s="20" t="str">
        <f>Sources!B52</f>
        <v>Los Pinares Executives Summoned to Court on Criminal Charges</v>
      </c>
      <c r="C52" s="30" t="str">
        <f>IF(ISBLANK(Sources!C52), "", CONCAT("images/", Sources!C52))</f>
        <v/>
      </c>
      <c r="D52" s="20" t="str">
        <f>Sources!D52</f>
        <v>Los Pinares Executives Summoned to Court on Criminal Charges</v>
      </c>
      <c r="E52" s="31" t="str">
        <f>IF(ISBLANK(Sources!E52), "", CONCAT("", Sources!E52))</f>
        <v>images/28022025.jpg</v>
      </c>
      <c r="F52" s="20" t="str">
        <f>IF(ISBLANK(Sources!F52), "", CONCAT("", Sources!F52))</f>
        <v/>
      </c>
      <c r="G52" s="20" t="str">
        <f>IF(ISBLANK(Sources!G52), "", CONCAT("", Sources!G52))</f>
        <v/>
      </c>
    </row>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7" width="14.43"/>
  </cols>
  <sheetData>
    <row r="1" ht="15.75" customHeight="1">
      <c r="A1" s="18" t="s">
        <v>272</v>
      </c>
      <c r="B1" s="32" t="s">
        <v>273</v>
      </c>
      <c r="C1" s="18" t="s">
        <v>279</v>
      </c>
      <c r="D1" s="18" t="s">
        <v>280</v>
      </c>
      <c r="E1" s="18" t="s">
        <v>281</v>
      </c>
      <c r="F1" s="15" t="s">
        <v>282</v>
      </c>
      <c r="G1" s="15" t="s">
        <v>283</v>
      </c>
    </row>
    <row r="2" ht="15.75" customHeight="1">
      <c r="A2" s="19" t="str">
        <f>Associations!A2</f>
        <v>n1</v>
      </c>
      <c r="B2" s="19" t="str">
        <f>Associations!B2</f>
        <v>Development of the Los Pinares / ECOTEK Megaproject</v>
      </c>
      <c r="C2" s="19" t="str">
        <f>Associations!B2</f>
        <v>Development of the Los Pinares / ECOTEK Megaproject</v>
      </c>
      <c r="D2" s="19" t="str">
        <f>Associations!C2</f>
        <v>NARRATIVE</v>
      </c>
      <c r="E2" s="19" t="str">
        <f>Associations!D2</f>
        <v/>
      </c>
      <c r="F2" s="19" t="str">
        <f>Associations!E2</f>
        <v/>
      </c>
      <c r="G2" s="19" t="str">
        <f>Associations!F2</f>
        <v/>
      </c>
    </row>
    <row r="3" ht="15.75" customHeight="1">
      <c r="A3" s="19" t="str">
        <f>Associations!A3</f>
        <v>n2</v>
      </c>
      <c r="B3" s="19" t="str">
        <f>Associations!B3</f>
        <v>Community Response to the Megaproject</v>
      </c>
      <c r="C3" s="19" t="str">
        <f>Associations!B3</f>
        <v>Community Response to the Megaproject</v>
      </c>
      <c r="D3" s="19" t="str">
        <f>Associations!C3</f>
        <v>NARRATIVE</v>
      </c>
      <c r="E3" s="19" t="str">
        <f>Associations!D3</f>
        <v/>
      </c>
      <c r="F3" s="33" t="str">
        <f>Associations!E3</f>
        <v/>
      </c>
      <c r="G3" s="26"/>
    </row>
    <row r="4" ht="15.75" customHeight="1">
      <c r="A4" s="19" t="str">
        <f>Associations!A4</f>
        <v>n3</v>
      </c>
      <c r="B4" s="19" t="str">
        <f>Associations!B4</f>
        <v>Violence Against Guapinol Defenders</v>
      </c>
      <c r="C4" s="19" t="str">
        <f>Associations!B4</f>
        <v>Violence Against Guapinol Defenders</v>
      </c>
      <c r="D4" s="19" t="str">
        <f>Associations!C4</f>
        <v>NARRATIVE</v>
      </c>
      <c r="E4" s="19" t="str">
        <f>Associations!D4</f>
        <v/>
      </c>
      <c r="F4" s="33" t="str">
        <f>Associations!E4</f>
        <v/>
      </c>
      <c r="G4" s="26"/>
    </row>
    <row r="5" ht="15.75" customHeight="1">
      <c r="A5" s="19" t="str">
        <f>Associations!A5</f>
        <v>n4</v>
      </c>
      <c r="B5" s="19" t="str">
        <f>Associations!B5</f>
        <v>Legal Proceedings Against the Guapinol Defenders</v>
      </c>
      <c r="C5" s="19" t="str">
        <f>Associations!B5</f>
        <v>Legal Proceedings Against the Guapinol Defenders</v>
      </c>
      <c r="D5" s="19" t="str">
        <f>Associations!C5</f>
        <v>NARRATIVE</v>
      </c>
      <c r="E5" s="19" t="str">
        <f>Associations!D5</f>
        <v/>
      </c>
      <c r="F5" s="33" t="str">
        <f>Associations!E5</f>
        <v/>
      </c>
      <c r="G5" s="26"/>
    </row>
    <row r="6" ht="15.75" customHeight="1">
      <c r="A6" s="19" t="str">
        <f>Associations!A6</f>
        <v>c1</v>
      </c>
      <c r="B6" s="19" t="str">
        <f>Associations!B6</f>
        <v>Legal and Regulatory Changes</v>
      </c>
      <c r="C6" s="19" t="str">
        <f>Associations!B6</f>
        <v>Legal and Regulatory Changes</v>
      </c>
      <c r="D6" s="19" t="str">
        <f>Associations!C6</f>
        <v>CATEGORY</v>
      </c>
      <c r="E6" s="19" t="str">
        <f>Associations!D6</f>
        <v/>
      </c>
      <c r="F6" s="33" t="str">
        <f>Associations!E6</f>
        <v/>
      </c>
      <c r="G6" s="26"/>
    </row>
    <row r="7" ht="15.75" customHeight="1">
      <c r="A7" s="19" t="str">
        <f>Associations!A7</f>
        <v>c2</v>
      </c>
      <c r="B7" s="19" t="str">
        <f>Associations!B7</f>
        <v>Community Resistance</v>
      </c>
      <c r="C7" s="19" t="str">
        <f>Associations!B7</f>
        <v>Community Resistance</v>
      </c>
      <c r="D7" s="19" t="str">
        <f>Associations!C7</f>
        <v>CATEGORY</v>
      </c>
      <c r="E7" s="19" t="str">
        <f>Associations!D7</f>
        <v/>
      </c>
      <c r="F7" s="33" t="str">
        <f>Associations!E7</f>
        <v/>
      </c>
      <c r="G7" s="26"/>
    </row>
    <row r="8" ht="15.75" customHeight="1">
      <c r="A8" s="19" t="str">
        <f>Associations!A8</f>
        <v>c3</v>
      </c>
      <c r="B8" s="19" t="str">
        <f>Associations!B8</f>
        <v>Violence and Conflict</v>
      </c>
      <c r="C8" s="19" t="str">
        <f>Associations!B8</f>
        <v>Violence and Conflict</v>
      </c>
      <c r="D8" s="19" t="str">
        <f>Associations!C8</f>
        <v>CATEGORY</v>
      </c>
      <c r="E8" s="19" t="str">
        <f>Associations!D8</f>
        <v/>
      </c>
      <c r="F8" s="33" t="str">
        <f>Associations!E8</f>
        <v/>
      </c>
      <c r="G8" s="26"/>
    </row>
    <row r="9" ht="15.75" customHeight="1">
      <c r="A9" s="19" t="str">
        <f>Associations!A9</f>
        <v>c4</v>
      </c>
      <c r="B9" s="19" t="str">
        <f>Associations!B9</f>
        <v>Criminalization of Defenders</v>
      </c>
      <c r="C9" s="19" t="str">
        <f>Associations!B9</f>
        <v>Criminalization of Defenders</v>
      </c>
      <c r="D9" s="19" t="str">
        <f>Associations!C9</f>
        <v>CATEGORY</v>
      </c>
      <c r="E9" s="19" t="str">
        <f>Associations!D9</f>
        <v/>
      </c>
      <c r="F9" s="33" t="str">
        <f>Associations!E9</f>
        <v/>
      </c>
      <c r="G9" s="26"/>
    </row>
    <row r="10" ht="15.75" customHeight="1">
      <c r="A10" s="19" t="str">
        <f>Associations!A10</f>
        <v>c5</v>
      </c>
      <c r="B10" s="19" t="str">
        <f>Associations!B10</f>
        <v>Legal Advocacy</v>
      </c>
      <c r="C10" s="19" t="str">
        <f>Associations!B10</f>
        <v>Legal Advocacy</v>
      </c>
      <c r="D10" s="19" t="str">
        <f>Associations!C10</f>
        <v>CATEGORY</v>
      </c>
      <c r="E10" s="19" t="str">
        <f>Associations!D10</f>
        <v/>
      </c>
      <c r="F10" s="33" t="str">
        <f>Associations!E10</f>
        <v/>
      </c>
      <c r="G10" s="26"/>
    </row>
    <row r="11" ht="15.75" customHeight="1">
      <c r="A11" s="19" t="str">
        <f>Associations!A11</f>
        <v>c6</v>
      </c>
      <c r="B11" s="19" t="str">
        <f>Associations!B11</f>
        <v>Legal Proceedings</v>
      </c>
      <c r="C11" s="19" t="str">
        <f>Associations!B11</f>
        <v>Legal Proceedings</v>
      </c>
      <c r="D11" s="19" t="str">
        <f>Associations!C11</f>
        <v>CATEGORY</v>
      </c>
      <c r="E11" s="19" t="str">
        <f>Associations!D11</f>
        <v/>
      </c>
      <c r="F11" s="33" t="str">
        <f>Associations!E11</f>
        <v/>
      </c>
      <c r="G11" s="26"/>
    </row>
  </sheetData>
  <printOptions/>
  <pageMargins bottom="0.75" footer="0.0" header="0.0" left="0.7" right="0.7" top="0.75"/>
  <pageSetup orientation="landscape"/>
  <drawing r:id="rId1"/>
</worksheet>
</file>